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EB8343DC-9E14-4E64-BCD9-9B776BDF05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DAS FUNCTIONWISE P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31" i="1" l="1"/>
</calcChain>
</file>

<file path=xl/sharedStrings.xml><?xml version="1.0" encoding="utf-8"?>
<sst xmlns="http://schemas.openxmlformats.org/spreadsheetml/2006/main" count="143" uniqueCount="41">
  <si>
    <t>LC - Balance</t>
  </si>
  <si>
    <t>LC - Consol</t>
  </si>
  <si>
    <t>GC - Balance</t>
  </si>
  <si>
    <t>GC - Reclass</t>
  </si>
  <si>
    <t>GC - Elimination</t>
  </si>
  <si>
    <t>GC - Consol</t>
  </si>
  <si>
    <t>GC - Total</t>
  </si>
  <si>
    <t>BALSCH</t>
  </si>
  <si>
    <t>BALSDE</t>
  </si>
  <si>
    <t>BALSDK</t>
  </si>
  <si>
    <t>Overall Result</t>
  </si>
  <si>
    <t>Base life science AG</t>
  </si>
  <si>
    <t>Base life science GmbH</t>
  </si>
  <si>
    <t>Base life science A/S</t>
  </si>
  <si>
    <t>GLACCOUNT</t>
  </si>
  <si>
    <t>GL Description | Currency</t>
  </si>
  <si>
    <t>CHF</t>
  </si>
  <si>
    <t>EUR</t>
  </si>
  <si>
    <t>DKK</t>
  </si>
  <si>
    <t>Income</t>
  </si>
  <si>
    <t>Overseas - Others</t>
  </si>
  <si>
    <t>Overseas Inter company transfer</t>
  </si>
  <si>
    <t>Software Development Exp</t>
  </si>
  <si>
    <t>Overseas Salaries  excluding Medical Insurance</t>
  </si>
  <si>
    <t>Depreciation</t>
  </si>
  <si>
    <t>Sales &amp; Marketing Cost</t>
  </si>
  <si>
    <t>Marketing expenses</t>
  </si>
  <si>
    <t>Sales promotion expenses</t>
  </si>
  <si>
    <t>Administration cost</t>
  </si>
  <si>
    <t>Other Income</t>
  </si>
  <si>
    <t>Interest received on Bank A/c</t>
  </si>
  <si>
    <t>Translation diff</t>
  </si>
  <si>
    <t>Provision for Tax</t>
  </si>
  <si>
    <t>Provision for Deferred taxes-overseas</t>
  </si>
  <si>
    <t>Interest</t>
  </si>
  <si>
    <t>Interest Expense on Loan from Subsidiary</t>
  </si>
  <si>
    <t>Provision for Investment</t>
  </si>
  <si>
    <t>Provision on investment - Subsidiary</t>
  </si>
  <si>
    <t>Minority Interest</t>
  </si>
  <si>
    <t>Net Profit</t>
  </si>
  <si>
    <t>P &amp; L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</si>
</sst>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/>
    <xf numFmtId="0" fontId="0" fillId="2" borderId="0" xfId="0" applyFill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 applyFill="1" applyBorder="1" applyAlignme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32"/>
  <sheetViews>
    <sheetView tabSelected="1" topLeftCell="P1" workbookViewId="0">
      <selection activeCell="AE23" sqref="AE23"/>
    </sheetView>
  </sheetViews>
  <sheetFormatPr defaultRowHeight="15"/>
  <cols>
    <col min="1" max="1" width="24.5703125" bestFit="1" customWidth="1"/>
    <col min="2" max="2" width="11.85546875" bestFit="1" customWidth="1"/>
    <col min="3" max="3" width="36.5703125" bestFit="1" customWidth="1"/>
    <col min="4" max="4" width="18.140625" bestFit="1" customWidth="1"/>
    <col min="5" max="5" width="21" bestFit="1" customWidth="1"/>
    <col min="6" max="6" width="18.5703125" bestFit="1" customWidth="1"/>
    <col min="7" max="7" width="13" bestFit="1" customWidth="1"/>
    <col min="8" max="8" width="18.140625" bestFit="1" customWidth="1"/>
    <col min="9" max="9" width="21" bestFit="1" customWidth="1"/>
    <col min="10" max="10" width="18.5703125" bestFit="1" customWidth="1"/>
    <col min="11" max="11" width="13.28515625" bestFit="1" customWidth="1"/>
    <col min="12" max="12" width="18.140625" bestFit="1" customWidth="1"/>
    <col min="13" max="13" width="21" bestFit="1" customWidth="1"/>
    <col min="14" max="14" width="18.5703125" bestFit="1" customWidth="1"/>
    <col min="15" max="15" width="13.28515625" bestFit="1" customWidth="1"/>
    <col min="16" max="16" width="18.140625" bestFit="1" customWidth="1"/>
    <col min="17" max="17" width="21" bestFit="1" customWidth="1"/>
    <col min="18" max="18" width="18.5703125" bestFit="1" customWidth="1"/>
    <col min="19" max="19" width="13.28515625" bestFit="1" customWidth="1"/>
    <col min="20" max="20" width="18.140625" bestFit="1" customWidth="1"/>
    <col min="21" max="21" width="21" bestFit="1" customWidth="1"/>
    <col min="22" max="22" width="18.5703125" bestFit="1" customWidth="1"/>
    <col min="23" max="23" width="14.85546875" bestFit="1" customWidth="1"/>
    <col min="24" max="24" width="18.140625" bestFit="1" customWidth="1"/>
    <col min="25" max="25" width="21" bestFit="1" customWidth="1"/>
    <col min="26" max="26" width="18.5703125" bestFit="1" customWidth="1"/>
    <col min="27" max="27" width="13.28515625" bestFit="1" customWidth="1"/>
    <col min="28" max="28" width="36.5703125" bestFit="1" customWidth="1"/>
    <col min="29" max="29" width="21" bestFit="1" customWidth="1"/>
    <col min="30" max="30" width="18.5703125" bestFit="1" customWidth="1"/>
    <col min="31" max="31" width="13.28515625" bestFit="1" customWidth="1"/>
  </cols>
  <sheetData>
    <row r="2" spans="1:31">
      <c r="A2" s="1"/>
      <c r="B2" s="1"/>
      <c r="C2" s="1"/>
      <c r="D2" s="1" t="s">
        <v>0</v>
      </c>
      <c r="E2" s="1" t="s">
        <v>0</v>
      </c>
      <c r="F2" s="1" t="s">
        <v>0</v>
      </c>
      <c r="G2" s="5" t="s">
        <v>0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2</v>
      </c>
      <c r="M2" s="1" t="s">
        <v>2</v>
      </c>
      <c r="N2" s="1" t="s">
        <v>2</v>
      </c>
      <c r="O2" s="1" t="s">
        <v>2</v>
      </c>
      <c r="P2" t="s">
        <v>3</v>
      </c>
      <c r="Q2" t="s">
        <v>3</v>
      </c>
      <c r="R2" t="s">
        <v>3</v>
      </c>
      <c r="S2" t="s">
        <v>3</v>
      </c>
      <c r="T2" t="s">
        <v>4</v>
      </c>
      <c r="U2" t="s">
        <v>4</v>
      </c>
      <c r="V2" t="s">
        <v>4</v>
      </c>
      <c r="W2" t="s">
        <v>4</v>
      </c>
      <c r="X2" t="s">
        <v>5</v>
      </c>
      <c r="Y2" t="s">
        <v>5</v>
      </c>
      <c r="Z2" t="s">
        <v>5</v>
      </c>
      <c r="AA2" t="s">
        <v>5</v>
      </c>
      <c r="AB2" t="s">
        <v>6</v>
      </c>
      <c r="AC2" t="s">
        <v>6</v>
      </c>
      <c r="AD2" t="s">
        <v>6</v>
      </c>
      <c r="AE2" t="s">
        <v>6</v>
      </c>
    </row>
    <row r="3" spans="1:31">
      <c r="A3" s="1"/>
      <c r="B3" s="1"/>
      <c r="C3" s="1"/>
      <c r="D3" s="1" t="s">
        <v>7</v>
      </c>
      <c r="E3" s="1" t="s">
        <v>8</v>
      </c>
      <c r="F3" s="1" t="s">
        <v>9</v>
      </c>
      <c r="G3" s="4" t="s">
        <v>10</v>
      </c>
      <c r="H3" s="1" t="s">
        <v>7</v>
      </c>
      <c r="I3" s="1" t="s">
        <v>8</v>
      </c>
      <c r="J3" s="1" t="s">
        <v>9</v>
      </c>
      <c r="K3" s="4" t="s">
        <v>10</v>
      </c>
      <c r="L3" s="1" t="s">
        <v>7</v>
      </c>
      <c r="M3" s="1" t="s">
        <v>8</v>
      </c>
      <c r="N3" s="1" t="s">
        <v>9</v>
      </c>
      <c r="O3" s="4" t="s">
        <v>10</v>
      </c>
      <c r="P3" s="1" t="s">
        <v>7</v>
      </c>
      <c r="Q3" s="1" t="s">
        <v>8</v>
      </c>
      <c r="R3" s="1" t="s">
        <v>9</v>
      </c>
      <c r="S3" s="4" t="s">
        <v>10</v>
      </c>
      <c r="T3" s="1" t="s">
        <v>7</v>
      </c>
      <c r="U3" s="1" t="s">
        <v>8</v>
      </c>
      <c r="V3" s="1" t="s">
        <v>9</v>
      </c>
      <c r="W3" s="4" t="s">
        <v>10</v>
      </c>
      <c r="X3" s="1" t="s">
        <v>7</v>
      </c>
      <c r="Y3" s="1" t="s">
        <v>8</v>
      </c>
      <c r="Z3" s="1" t="s">
        <v>9</v>
      </c>
      <c r="AA3" s="4" t="s">
        <v>10</v>
      </c>
      <c r="AB3" s="1" t="s">
        <v>7</v>
      </c>
      <c r="AC3" s="1" t="s">
        <v>8</v>
      </c>
      <c r="AD3" s="1" t="s">
        <v>9</v>
      </c>
      <c r="AE3" s="4" t="s">
        <v>10</v>
      </c>
    </row>
    <row r="4" spans="1:31">
      <c r="A4" s="1"/>
      <c r="B4" s="1"/>
      <c r="C4" s="1"/>
      <c r="D4" s="1" t="s">
        <v>11</v>
      </c>
      <c r="E4" s="1" t="s">
        <v>12</v>
      </c>
      <c r="F4" s="1" t="s">
        <v>13</v>
      </c>
      <c r="G4" s="2"/>
      <c r="H4" s="1" t="s">
        <v>11</v>
      </c>
      <c r="I4" s="1" t="s">
        <v>12</v>
      </c>
      <c r="J4" s="1" t="s">
        <v>13</v>
      </c>
      <c r="K4" s="2"/>
      <c r="L4" s="1" t="s">
        <v>11</v>
      </c>
      <c r="M4" s="1" t="s">
        <v>12</v>
      </c>
      <c r="N4" s="1" t="s">
        <v>13</v>
      </c>
      <c r="O4" s="2"/>
      <c r="P4" s="1" t="s">
        <v>11</v>
      </c>
      <c r="Q4" s="1" t="s">
        <v>12</v>
      </c>
      <c r="R4" s="1" t="s">
        <v>13</v>
      </c>
      <c r="S4" s="2"/>
      <c r="T4" s="1" t="s">
        <v>11</v>
      </c>
      <c r="U4" s="1" t="s">
        <v>12</v>
      </c>
      <c r="V4" s="1" t="s">
        <v>13</v>
      </c>
      <c r="W4" s="4"/>
      <c r="X4" s="1" t="s">
        <v>11</v>
      </c>
      <c r="Y4" s="1" t="s">
        <v>12</v>
      </c>
      <c r="Z4" s="1" t="s">
        <v>13</v>
      </c>
      <c r="AA4" s="2"/>
      <c r="AB4" s="1" t="s">
        <v>11</v>
      </c>
      <c r="AC4" s="1" t="s">
        <v>12</v>
      </c>
      <c r="AD4" s="1" t="s">
        <v>13</v>
      </c>
      <c r="AE4" s="2"/>
    </row>
    <row r="5" spans="1:31">
      <c r="A5" s="1"/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2"/>
      <c r="H5" s="1" t="s">
        <v>16</v>
      </c>
      <c r="I5" s="1" t="s">
        <v>17</v>
      </c>
      <c r="J5" s="1" t="s">
        <v>18</v>
      </c>
      <c r="K5" s="2"/>
      <c r="L5" s="1" t="s">
        <v>16</v>
      </c>
      <c r="M5" s="1" t="s">
        <v>17</v>
      </c>
      <c r="N5" s="1" t="s">
        <v>18</v>
      </c>
      <c r="O5" s="2"/>
      <c r="P5" s="1" t="s">
        <v>16</v>
      </c>
      <c r="Q5" s="1" t="s">
        <v>17</v>
      </c>
      <c r="R5" s="1" t="s">
        <v>18</v>
      </c>
      <c r="S5" s="2"/>
      <c r="T5" s="1" t="s">
        <v>16</v>
      </c>
      <c r="U5" s="1" t="s">
        <v>17</v>
      </c>
      <c r="V5" s="1" t="s">
        <v>18</v>
      </c>
      <c r="W5" s="4"/>
      <c r="X5" s="1" t="s">
        <v>16</v>
      </c>
      <c r="Y5" s="1" t="s">
        <v>17</v>
      </c>
      <c r="Z5" s="1" t="s">
        <v>18</v>
      </c>
      <c r="AA5" s="2"/>
      <c r="AB5" s="1" t="s">
        <v>16</v>
      </c>
      <c r="AC5" s="1" t="s">
        <v>17</v>
      </c>
      <c r="AD5" s="1" t="s">
        <v>18</v>
      </c>
      <c r="AE5" s="2"/>
    </row>
    <row r="6" spans="1:31">
      <c r="A6" s="1" t="s">
        <v>19</v>
      </c>
      <c r="B6" s="1">
        <v>311025</v>
      </c>
      <c r="C6" s="1" t="s">
        <v>20</v>
      </c>
      <c r="D6" s="1">
        <v>-355672.13</v>
      </c>
      <c r="E6" s="1">
        <v>-91166</v>
      </c>
      <c r="F6" s="1">
        <v>-13439774.699999999</v>
      </c>
      <c r="G6" s="4">
        <v>-13886612.83</v>
      </c>
      <c r="H6">
        <v>0</v>
      </c>
      <c r="I6">
        <v>0</v>
      </c>
      <c r="J6">
        <v>0</v>
      </c>
      <c r="K6" s="4">
        <v>0</v>
      </c>
      <c r="L6">
        <v>-42161374.289999999</v>
      </c>
      <c r="M6">
        <v>-9829518.1199999992</v>
      </c>
      <c r="N6">
        <v>-191113596.22999999</v>
      </c>
      <c r="O6" s="4">
        <v>-243104488.63999999</v>
      </c>
      <c r="P6">
        <v>0</v>
      </c>
      <c r="Q6">
        <v>0</v>
      </c>
      <c r="R6">
        <v>0</v>
      </c>
      <c r="S6" s="4">
        <v>0</v>
      </c>
      <c r="T6">
        <v>0</v>
      </c>
      <c r="U6">
        <v>0</v>
      </c>
      <c r="V6">
        <v>0</v>
      </c>
      <c r="W6" s="4">
        <v>0</v>
      </c>
      <c r="X6">
        <v>0</v>
      </c>
      <c r="Y6">
        <v>0</v>
      </c>
      <c r="Z6">
        <v>0</v>
      </c>
      <c r="AA6" s="4">
        <v>0</v>
      </c>
      <c r="AB6">
        <v>-42161374.289999999</v>
      </c>
      <c r="AC6">
        <v>-9829518.1199999992</v>
      </c>
      <c r="AD6">
        <v>-191113596.22999999</v>
      </c>
      <c r="AE6" s="4">
        <v>-243104488.63999999</v>
      </c>
    </row>
    <row r="7" spans="1:31">
      <c r="A7" s="1" t="s">
        <v>19</v>
      </c>
      <c r="B7" s="1">
        <v>311030</v>
      </c>
      <c r="C7" s="1" t="s">
        <v>21</v>
      </c>
      <c r="D7" s="1">
        <v>-130023</v>
      </c>
      <c r="E7" s="1">
        <v>-74412</v>
      </c>
      <c r="F7" s="1">
        <v>-7052462.5</v>
      </c>
      <c r="G7" s="4">
        <v>-7256897.5</v>
      </c>
      <c r="H7">
        <v>0</v>
      </c>
      <c r="I7">
        <v>0</v>
      </c>
      <c r="J7">
        <v>0</v>
      </c>
      <c r="K7" s="4">
        <v>0</v>
      </c>
      <c r="L7">
        <v>-15412926.42</v>
      </c>
      <c r="M7">
        <v>-8023101.8399999999</v>
      </c>
      <c r="N7">
        <v>-100286016.75</v>
      </c>
      <c r="O7" s="4">
        <v>-123722045.00999999</v>
      </c>
      <c r="P7">
        <v>0</v>
      </c>
      <c r="Q7">
        <v>0</v>
      </c>
      <c r="R7">
        <v>0</v>
      </c>
      <c r="S7" s="4">
        <v>0</v>
      </c>
      <c r="T7">
        <v>15412926.42</v>
      </c>
      <c r="U7">
        <v>8023101.8399999999</v>
      </c>
      <c r="V7">
        <v>100286016.75</v>
      </c>
      <c r="W7" s="4">
        <v>123722045.00999999</v>
      </c>
      <c r="X7">
        <v>0</v>
      </c>
      <c r="Y7">
        <v>0</v>
      </c>
      <c r="Z7">
        <v>0</v>
      </c>
      <c r="AA7" s="4">
        <v>0</v>
      </c>
      <c r="AB7">
        <v>0</v>
      </c>
      <c r="AC7">
        <v>0</v>
      </c>
      <c r="AD7">
        <v>0</v>
      </c>
      <c r="AE7" s="4">
        <v>0</v>
      </c>
    </row>
    <row r="8" spans="1:31">
      <c r="A8" s="4" t="s">
        <v>19</v>
      </c>
      <c r="B8" s="4"/>
      <c r="C8" s="4"/>
      <c r="D8" s="4">
        <v>-485695.13</v>
      </c>
      <c r="E8" s="4">
        <v>-165578</v>
      </c>
      <c r="F8" s="4">
        <v>-20492237.199999999</v>
      </c>
      <c r="G8" s="4">
        <v>-21143510.329999998</v>
      </c>
      <c r="H8" s="4">
        <v>0</v>
      </c>
      <c r="I8" s="4">
        <v>0</v>
      </c>
      <c r="J8" s="4">
        <v>0</v>
      </c>
      <c r="K8" s="4">
        <v>0</v>
      </c>
      <c r="L8" s="4">
        <v>-57574300.710000001</v>
      </c>
      <c r="M8" s="4">
        <v>-17852619.960000001</v>
      </c>
      <c r="N8" s="4">
        <v>-291399612.98000002</v>
      </c>
      <c r="O8" s="4">
        <v>-366826533.65000004</v>
      </c>
      <c r="P8" s="4">
        <v>0</v>
      </c>
      <c r="Q8" s="4">
        <v>0</v>
      </c>
      <c r="R8" s="4">
        <v>0</v>
      </c>
      <c r="S8" s="4">
        <v>0</v>
      </c>
      <c r="T8" s="4">
        <v>15412926.42</v>
      </c>
      <c r="U8" s="4">
        <v>8023101.8399999999</v>
      </c>
      <c r="V8" s="4">
        <v>100286016.75</v>
      </c>
      <c r="W8" s="4">
        <v>123722045.00999999</v>
      </c>
      <c r="X8" s="4">
        <v>0</v>
      </c>
      <c r="Y8" s="4">
        <v>0</v>
      </c>
      <c r="Z8" s="4">
        <v>0</v>
      </c>
      <c r="AA8" s="4">
        <v>0</v>
      </c>
      <c r="AB8" s="4">
        <v>-42161374.289999999</v>
      </c>
      <c r="AC8" s="4">
        <v>-9829518.1199999992</v>
      </c>
      <c r="AD8" s="4">
        <v>-191113596.22999999</v>
      </c>
      <c r="AE8" s="4">
        <v>-243104488.63999999</v>
      </c>
    </row>
    <row r="9" spans="1:31" ht="30.75">
      <c r="A9" t="s">
        <v>22</v>
      </c>
      <c r="B9">
        <v>110200</v>
      </c>
      <c r="C9" s="3" t="s">
        <v>23</v>
      </c>
      <c r="D9">
        <v>266422.58</v>
      </c>
      <c r="E9">
        <v>118158.39999999999</v>
      </c>
      <c r="F9">
        <v>6290519.8399999999</v>
      </c>
      <c r="G9" s="4">
        <v>6675100.8200000003</v>
      </c>
      <c r="H9">
        <v>0</v>
      </c>
      <c r="I9">
        <v>0</v>
      </c>
      <c r="J9">
        <v>0</v>
      </c>
      <c r="K9" s="4">
        <v>0</v>
      </c>
      <c r="L9">
        <v>31581732.629999999</v>
      </c>
      <c r="M9">
        <v>12739838.689999999</v>
      </c>
      <c r="N9">
        <v>89451192.120000005</v>
      </c>
      <c r="O9" s="4">
        <v>133772763.44</v>
      </c>
      <c r="P9">
        <v>0</v>
      </c>
      <c r="Q9">
        <v>0</v>
      </c>
      <c r="R9">
        <v>0</v>
      </c>
      <c r="S9" s="4">
        <v>0</v>
      </c>
      <c r="T9">
        <v>0</v>
      </c>
      <c r="U9">
        <v>0</v>
      </c>
      <c r="V9">
        <v>0</v>
      </c>
      <c r="W9" s="4">
        <v>0</v>
      </c>
      <c r="X9">
        <v>0</v>
      </c>
      <c r="Y9">
        <v>0</v>
      </c>
      <c r="Z9">
        <v>0</v>
      </c>
      <c r="AA9" s="4">
        <v>0</v>
      </c>
      <c r="AB9">
        <v>31581732.629999999</v>
      </c>
      <c r="AC9">
        <v>12739838.689999999</v>
      </c>
      <c r="AD9">
        <v>89451192.120000005</v>
      </c>
      <c r="AE9" s="4">
        <v>133772763.44</v>
      </c>
    </row>
    <row r="10" spans="1:31">
      <c r="A10" t="s">
        <v>22</v>
      </c>
      <c r="B10">
        <v>290100</v>
      </c>
      <c r="C10" t="s">
        <v>24</v>
      </c>
      <c r="D10">
        <v>0</v>
      </c>
      <c r="E10">
        <v>0</v>
      </c>
      <c r="F10">
        <v>0</v>
      </c>
      <c r="G10" s="4">
        <v>0</v>
      </c>
      <c r="H10">
        <v>0</v>
      </c>
      <c r="I10">
        <v>0</v>
      </c>
      <c r="J10">
        <v>0</v>
      </c>
      <c r="K10" s="4">
        <v>0</v>
      </c>
      <c r="L10">
        <v>0</v>
      </c>
      <c r="M10">
        <v>0</v>
      </c>
      <c r="N10">
        <v>0</v>
      </c>
      <c r="O10" s="4">
        <v>0</v>
      </c>
      <c r="P10">
        <v>603487.14</v>
      </c>
      <c r="Q10">
        <v>49436.55</v>
      </c>
      <c r="R10">
        <v>2238009.7200000002</v>
      </c>
      <c r="S10" s="4">
        <v>2890933.41</v>
      </c>
      <c r="T10">
        <v>0</v>
      </c>
      <c r="U10">
        <v>0</v>
      </c>
      <c r="V10">
        <v>0</v>
      </c>
      <c r="W10" s="4">
        <v>0</v>
      </c>
      <c r="X10">
        <v>0</v>
      </c>
      <c r="Y10">
        <v>0</v>
      </c>
      <c r="Z10">
        <v>0</v>
      </c>
      <c r="AA10" s="4">
        <v>0</v>
      </c>
      <c r="AB10">
        <v>603487.14</v>
      </c>
      <c r="AC10">
        <v>49436.55</v>
      </c>
      <c r="AD10">
        <v>2238009.7200000002</v>
      </c>
      <c r="AE10" s="4">
        <v>2890933.41</v>
      </c>
    </row>
    <row r="11" spans="1:31">
      <c r="A11" s="4" t="s">
        <v>22</v>
      </c>
      <c r="B11" s="4"/>
      <c r="C11" s="4"/>
      <c r="D11" s="4">
        <v>266422.58</v>
      </c>
      <c r="E11" s="4">
        <v>118158.39999999999</v>
      </c>
      <c r="F11" s="4">
        <v>6290519.8399999999</v>
      </c>
      <c r="G11" s="4">
        <v>6675100.8200000003</v>
      </c>
      <c r="H11" s="4">
        <v>0</v>
      </c>
      <c r="I11" s="4">
        <v>0</v>
      </c>
      <c r="J11" s="4">
        <v>0</v>
      </c>
      <c r="K11" s="4">
        <v>0</v>
      </c>
      <c r="L11" s="4">
        <v>31581732.629999999</v>
      </c>
      <c r="M11" s="4">
        <v>12739838.689999999</v>
      </c>
      <c r="N11" s="4">
        <v>89451192.120000005</v>
      </c>
      <c r="O11" s="4">
        <v>133772763.44</v>
      </c>
      <c r="P11" s="4">
        <v>603487.14</v>
      </c>
      <c r="Q11" s="4">
        <v>49436.55</v>
      </c>
      <c r="R11" s="4">
        <v>2238009.7200000002</v>
      </c>
      <c r="S11" s="4">
        <v>2890933.41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32185219.77</v>
      </c>
      <c r="AC11" s="4">
        <v>12789275.24</v>
      </c>
      <c r="AD11" s="4">
        <v>91689201.840000004</v>
      </c>
      <c r="AE11" s="4">
        <v>136663696.84999999</v>
      </c>
    </row>
    <row r="12" spans="1:31" s="6" customFormat="1">
      <c r="A12" s="6" t="s">
        <v>25</v>
      </c>
      <c r="B12" s="6">
        <v>110200</v>
      </c>
      <c r="C12" s="6" t="s">
        <v>23</v>
      </c>
      <c r="D12" s="6">
        <v>48486.19</v>
      </c>
      <c r="E12" s="6">
        <v>16219.93</v>
      </c>
      <c r="F12" s="6">
        <v>522188.52</v>
      </c>
      <c r="G12" s="4">
        <v>586894.64</v>
      </c>
      <c r="H12" s="6">
        <v>0</v>
      </c>
      <c r="I12" s="6">
        <v>0</v>
      </c>
      <c r="J12" s="6">
        <v>0</v>
      </c>
      <c r="K12" s="4">
        <v>0</v>
      </c>
      <c r="L12" s="6">
        <v>5747552.96</v>
      </c>
      <c r="M12" s="6">
        <v>1748832.85</v>
      </c>
      <c r="N12" s="6">
        <v>7425520.75</v>
      </c>
      <c r="O12" s="4">
        <v>14921906.560000001</v>
      </c>
      <c r="P12" s="6">
        <v>0</v>
      </c>
      <c r="Q12" s="6">
        <v>0</v>
      </c>
      <c r="R12" s="6">
        <v>0</v>
      </c>
      <c r="S12" s="4">
        <v>0</v>
      </c>
      <c r="T12" s="6">
        <v>0</v>
      </c>
      <c r="U12" s="6">
        <v>0</v>
      </c>
      <c r="V12" s="6">
        <v>0</v>
      </c>
      <c r="W12" s="4">
        <v>0</v>
      </c>
      <c r="X12" s="6">
        <v>0</v>
      </c>
      <c r="Y12" s="6">
        <v>0</v>
      </c>
      <c r="Z12" s="6">
        <v>0</v>
      </c>
      <c r="AA12" s="4">
        <v>0</v>
      </c>
      <c r="AB12" s="6">
        <v>5747552.96</v>
      </c>
      <c r="AC12" s="6">
        <v>1748832.85</v>
      </c>
      <c r="AD12" s="6">
        <v>7425520.75</v>
      </c>
      <c r="AE12" s="4">
        <v>14921906.560000001</v>
      </c>
    </row>
    <row r="13" spans="1:31">
      <c r="A13" t="s">
        <v>25</v>
      </c>
      <c r="B13">
        <v>212300</v>
      </c>
      <c r="C13" t="s">
        <v>26</v>
      </c>
      <c r="D13">
        <v>0</v>
      </c>
      <c r="E13">
        <v>0</v>
      </c>
      <c r="F13">
        <v>356515.24</v>
      </c>
      <c r="G13" s="4">
        <v>356515.24</v>
      </c>
      <c r="H13">
        <v>0</v>
      </c>
      <c r="I13">
        <v>0</v>
      </c>
      <c r="J13">
        <v>0</v>
      </c>
      <c r="K13" s="4">
        <v>0</v>
      </c>
      <c r="L13">
        <v>0</v>
      </c>
      <c r="M13">
        <v>0</v>
      </c>
      <c r="N13">
        <v>5069646.71</v>
      </c>
      <c r="O13" s="4">
        <v>5069646.71</v>
      </c>
      <c r="P13">
        <v>0</v>
      </c>
      <c r="Q13">
        <v>0</v>
      </c>
      <c r="R13">
        <v>0</v>
      </c>
      <c r="S13" s="4">
        <v>0</v>
      </c>
      <c r="T13">
        <v>0</v>
      </c>
      <c r="U13">
        <v>0</v>
      </c>
      <c r="V13">
        <v>0</v>
      </c>
      <c r="W13" s="4">
        <v>0</v>
      </c>
      <c r="X13">
        <v>0</v>
      </c>
      <c r="Y13">
        <v>0</v>
      </c>
      <c r="Z13">
        <v>0</v>
      </c>
      <c r="AA13" s="4">
        <v>0</v>
      </c>
      <c r="AB13">
        <v>0</v>
      </c>
      <c r="AC13">
        <v>0</v>
      </c>
      <c r="AD13">
        <v>5069646.71</v>
      </c>
      <c r="AE13" s="4">
        <v>5069646.71</v>
      </c>
    </row>
    <row r="14" spans="1:31">
      <c r="A14" t="s">
        <v>25</v>
      </c>
      <c r="B14">
        <v>212400</v>
      </c>
      <c r="C14" t="s">
        <v>27</v>
      </c>
      <c r="D14">
        <v>0</v>
      </c>
      <c r="E14">
        <v>0</v>
      </c>
      <c r="F14">
        <v>107043.23</v>
      </c>
      <c r="G14" s="4">
        <v>107043.23</v>
      </c>
      <c r="H14">
        <v>0</v>
      </c>
      <c r="I14">
        <v>0</v>
      </c>
      <c r="J14">
        <v>0</v>
      </c>
      <c r="K14" s="4">
        <v>0</v>
      </c>
      <c r="L14">
        <v>0</v>
      </c>
      <c r="M14">
        <v>0</v>
      </c>
      <c r="N14">
        <v>1522154.73</v>
      </c>
      <c r="O14" s="4">
        <v>1522154.73</v>
      </c>
      <c r="P14">
        <v>0</v>
      </c>
      <c r="Q14">
        <v>0</v>
      </c>
      <c r="R14">
        <v>0</v>
      </c>
      <c r="S14" s="4">
        <v>0</v>
      </c>
      <c r="T14">
        <v>0</v>
      </c>
      <c r="U14">
        <v>0</v>
      </c>
      <c r="V14">
        <v>0</v>
      </c>
      <c r="W14" s="4">
        <v>0</v>
      </c>
      <c r="X14">
        <v>0</v>
      </c>
      <c r="Y14">
        <v>0</v>
      </c>
      <c r="Z14">
        <v>0</v>
      </c>
      <c r="AA14" s="4">
        <v>0</v>
      </c>
      <c r="AB14">
        <v>0</v>
      </c>
      <c r="AC14">
        <v>0</v>
      </c>
      <c r="AD14">
        <v>1522154.73</v>
      </c>
      <c r="AE14" s="4">
        <v>1522154.73</v>
      </c>
    </row>
    <row r="15" spans="1:31">
      <c r="A15" s="4" t="s">
        <v>25</v>
      </c>
      <c r="B15" s="4"/>
      <c r="C15" s="4"/>
      <c r="D15" s="4">
        <v>48486.19</v>
      </c>
      <c r="E15" s="4">
        <v>16219.93</v>
      </c>
      <c r="F15" s="4">
        <v>985746.99</v>
      </c>
      <c r="G15" s="4">
        <v>1050453.1100000001</v>
      </c>
      <c r="H15" s="4">
        <v>0</v>
      </c>
      <c r="I15" s="4">
        <v>0</v>
      </c>
      <c r="J15" s="4">
        <v>0</v>
      </c>
      <c r="K15" s="4">
        <v>0</v>
      </c>
      <c r="L15" s="4">
        <v>5747552.96</v>
      </c>
      <c r="M15" s="4">
        <v>1748832.85</v>
      </c>
      <c r="N15" s="4">
        <v>14017322.190000001</v>
      </c>
      <c r="O15" s="4">
        <v>21513708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5747552.96</v>
      </c>
      <c r="AC15" s="4">
        <v>1748832.85</v>
      </c>
      <c r="AD15" s="4">
        <v>14017322.190000001</v>
      </c>
      <c r="AE15" s="4">
        <v>21513708</v>
      </c>
    </row>
    <row r="16" spans="1:31" s="6" customFormat="1">
      <c r="A16" s="6" t="s">
        <v>28</v>
      </c>
      <c r="B16" s="6">
        <v>110200</v>
      </c>
      <c r="C16" s="6" t="s">
        <v>23</v>
      </c>
      <c r="D16" s="6">
        <v>23503.96</v>
      </c>
      <c r="E16" s="6">
        <v>0</v>
      </c>
      <c r="F16" s="6">
        <v>943849.52</v>
      </c>
      <c r="G16" s="4">
        <v>967353.48</v>
      </c>
      <c r="H16" s="6">
        <v>0</v>
      </c>
      <c r="I16" s="6">
        <v>0</v>
      </c>
      <c r="J16" s="6">
        <v>0</v>
      </c>
      <c r="K16" s="4">
        <v>0</v>
      </c>
      <c r="L16" s="6">
        <v>2786159.42</v>
      </c>
      <c r="M16" s="6">
        <v>0</v>
      </c>
      <c r="N16" s="6">
        <v>13421540.17</v>
      </c>
      <c r="O16" s="4">
        <v>16207699.59</v>
      </c>
      <c r="P16" s="6">
        <v>0</v>
      </c>
      <c r="Q16" s="6">
        <v>0</v>
      </c>
      <c r="R16" s="6">
        <v>0</v>
      </c>
      <c r="S16" s="4">
        <v>0</v>
      </c>
      <c r="T16" s="6">
        <v>0</v>
      </c>
      <c r="U16" s="6">
        <v>0</v>
      </c>
      <c r="V16" s="6">
        <v>0</v>
      </c>
      <c r="W16" s="4">
        <v>0</v>
      </c>
      <c r="X16" s="6">
        <v>0</v>
      </c>
      <c r="Y16" s="6">
        <v>0</v>
      </c>
      <c r="Z16" s="6">
        <v>0</v>
      </c>
      <c r="AA16" s="4">
        <v>0</v>
      </c>
      <c r="AB16" s="6">
        <v>2786159.42</v>
      </c>
      <c r="AC16" s="6">
        <v>0</v>
      </c>
      <c r="AD16" s="6">
        <v>13421540.17</v>
      </c>
      <c r="AE16" s="4">
        <v>16207699.59</v>
      </c>
    </row>
    <row r="17" spans="1:31">
      <c r="A17" s="4" t="s">
        <v>28</v>
      </c>
      <c r="B17" s="4"/>
      <c r="C17" s="4"/>
      <c r="D17" s="4">
        <v>23503.96</v>
      </c>
      <c r="E17" s="4">
        <v>0</v>
      </c>
      <c r="F17" s="4">
        <v>943849.52</v>
      </c>
      <c r="G17" s="4">
        <v>967353.48</v>
      </c>
      <c r="H17" s="4">
        <v>0</v>
      </c>
      <c r="I17" s="4">
        <v>0</v>
      </c>
      <c r="J17" s="4">
        <v>0</v>
      </c>
      <c r="K17" s="4">
        <v>0</v>
      </c>
      <c r="L17" s="4">
        <v>2786159.42</v>
      </c>
      <c r="M17" s="4">
        <v>0</v>
      </c>
      <c r="N17" s="4">
        <v>13421540.17</v>
      </c>
      <c r="O17" s="4">
        <v>16207699.59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2786159.42</v>
      </c>
      <c r="AC17" s="4">
        <v>0</v>
      </c>
      <c r="AD17" s="4">
        <v>13421540.17</v>
      </c>
      <c r="AE17" s="4">
        <v>16207699.59</v>
      </c>
    </row>
    <row r="18" spans="1:31">
      <c r="A18" t="s">
        <v>29</v>
      </c>
      <c r="B18">
        <v>331001</v>
      </c>
      <c r="C18" t="s">
        <v>30</v>
      </c>
      <c r="D18">
        <v>0</v>
      </c>
      <c r="E18">
        <v>0</v>
      </c>
      <c r="F18">
        <v>-14548.69</v>
      </c>
      <c r="G18" s="4">
        <v>-14548.69</v>
      </c>
      <c r="H18">
        <v>0</v>
      </c>
      <c r="I18">
        <v>0</v>
      </c>
      <c r="J18">
        <v>0</v>
      </c>
      <c r="K18" s="4">
        <v>0</v>
      </c>
      <c r="L18">
        <v>0</v>
      </c>
      <c r="M18">
        <v>0</v>
      </c>
      <c r="N18">
        <v>-206882.37</v>
      </c>
      <c r="O18" s="4">
        <v>-206882.37</v>
      </c>
      <c r="P18">
        <v>0</v>
      </c>
      <c r="Q18">
        <v>0</v>
      </c>
      <c r="R18">
        <v>0</v>
      </c>
      <c r="S18" s="4">
        <v>0</v>
      </c>
      <c r="T18">
        <v>0</v>
      </c>
      <c r="U18">
        <v>0</v>
      </c>
      <c r="V18">
        <v>0</v>
      </c>
      <c r="W18" s="4">
        <v>0</v>
      </c>
      <c r="X18">
        <v>0</v>
      </c>
      <c r="Y18">
        <v>0</v>
      </c>
      <c r="Z18">
        <v>0</v>
      </c>
      <c r="AA18" s="4">
        <v>0</v>
      </c>
      <c r="AB18">
        <v>0</v>
      </c>
      <c r="AC18">
        <v>0</v>
      </c>
      <c r="AD18">
        <v>-206882.37</v>
      </c>
      <c r="AE18" s="4">
        <v>-206882.37</v>
      </c>
    </row>
    <row r="19" spans="1:31">
      <c r="A19" t="s">
        <v>29</v>
      </c>
      <c r="B19">
        <v>334000</v>
      </c>
      <c r="C19" t="s">
        <v>31</v>
      </c>
      <c r="D19">
        <v>8095.75</v>
      </c>
      <c r="E19">
        <v>0</v>
      </c>
      <c r="F19">
        <v>-120129.67</v>
      </c>
      <c r="G19" s="4">
        <v>-112033.92</v>
      </c>
      <c r="H19">
        <v>0</v>
      </c>
      <c r="I19">
        <v>0</v>
      </c>
      <c r="J19">
        <v>0</v>
      </c>
      <c r="K19" s="4">
        <v>0</v>
      </c>
      <c r="L19">
        <v>959670.21</v>
      </c>
      <c r="M19">
        <v>0</v>
      </c>
      <c r="N19">
        <v>-1708243.91</v>
      </c>
      <c r="O19" s="4">
        <v>-748573.7</v>
      </c>
      <c r="P19">
        <v>0</v>
      </c>
      <c r="Q19">
        <v>0</v>
      </c>
      <c r="R19">
        <v>0</v>
      </c>
      <c r="S19" s="4">
        <v>0</v>
      </c>
      <c r="T19">
        <v>0</v>
      </c>
      <c r="U19">
        <v>0</v>
      </c>
      <c r="V19">
        <v>0</v>
      </c>
      <c r="W19" s="4">
        <v>0</v>
      </c>
      <c r="X19">
        <v>0</v>
      </c>
      <c r="Y19">
        <v>0</v>
      </c>
      <c r="Z19">
        <v>0</v>
      </c>
      <c r="AA19" s="4">
        <v>0</v>
      </c>
      <c r="AB19">
        <v>959670.21</v>
      </c>
      <c r="AC19">
        <v>0</v>
      </c>
      <c r="AD19">
        <v>-1708243.91</v>
      </c>
      <c r="AE19" s="4">
        <v>-748573.7</v>
      </c>
    </row>
    <row r="20" spans="1:31">
      <c r="A20" s="4" t="s">
        <v>29</v>
      </c>
      <c r="B20" s="4"/>
      <c r="C20" s="4"/>
      <c r="D20" s="4">
        <v>8095.75</v>
      </c>
      <c r="E20" s="4">
        <v>0</v>
      </c>
      <c r="F20" s="4">
        <v>-134678.35999999999</v>
      </c>
      <c r="G20" s="4">
        <v>-126582.60999999999</v>
      </c>
      <c r="H20" s="4">
        <v>0</v>
      </c>
      <c r="I20" s="4">
        <v>0</v>
      </c>
      <c r="J20" s="4">
        <v>0</v>
      </c>
      <c r="K20" s="4">
        <v>0</v>
      </c>
      <c r="L20" s="4">
        <v>959670.21</v>
      </c>
      <c r="M20" s="4">
        <v>0</v>
      </c>
      <c r="N20" s="4">
        <v>-1915126.2799999998</v>
      </c>
      <c r="O20" s="4">
        <v>-955456.06999999983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959670.21</v>
      </c>
      <c r="AC20" s="4">
        <v>0</v>
      </c>
      <c r="AD20" s="4">
        <v>-1915126.2799999998</v>
      </c>
      <c r="AE20" s="4">
        <v>-955456.06999999983</v>
      </c>
    </row>
    <row r="21" spans="1:31">
      <c r="A21" t="s">
        <v>32</v>
      </c>
      <c r="B21">
        <v>290900</v>
      </c>
      <c r="C21" t="s">
        <v>33</v>
      </c>
      <c r="D21">
        <v>0</v>
      </c>
      <c r="E21">
        <v>0</v>
      </c>
      <c r="F21">
        <v>0</v>
      </c>
      <c r="G21" s="4">
        <v>0</v>
      </c>
      <c r="H21">
        <v>0</v>
      </c>
      <c r="I21">
        <v>0</v>
      </c>
      <c r="J21">
        <v>-677977.23</v>
      </c>
      <c r="K21" s="4">
        <v>-677977.23</v>
      </c>
      <c r="L21">
        <v>0</v>
      </c>
      <c r="M21">
        <v>0</v>
      </c>
      <c r="N21">
        <v>-9640836.2100000009</v>
      </c>
      <c r="O21" s="4">
        <v>-9640836.2100000009</v>
      </c>
      <c r="P21">
        <v>0</v>
      </c>
      <c r="Q21">
        <v>0</v>
      </c>
      <c r="R21">
        <v>0</v>
      </c>
      <c r="S21" s="4">
        <v>0</v>
      </c>
      <c r="T21">
        <v>0</v>
      </c>
      <c r="U21">
        <v>0</v>
      </c>
      <c r="V21">
        <v>0</v>
      </c>
      <c r="W21" s="4">
        <v>0</v>
      </c>
      <c r="X21">
        <v>0</v>
      </c>
      <c r="Y21">
        <v>0</v>
      </c>
      <c r="Z21">
        <v>0</v>
      </c>
      <c r="AA21" s="4">
        <v>0</v>
      </c>
      <c r="AB21">
        <v>0</v>
      </c>
      <c r="AC21">
        <v>0</v>
      </c>
      <c r="AD21">
        <v>-9640836.2100000009</v>
      </c>
      <c r="AE21" s="4">
        <v>-9640836.2100000009</v>
      </c>
    </row>
    <row r="22" spans="1:31">
      <c r="A22" s="4" t="s">
        <v>32</v>
      </c>
      <c r="B22" s="4"/>
      <c r="C22" s="4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-677977.23</v>
      </c>
      <c r="K22" s="4">
        <v>-677977.23</v>
      </c>
      <c r="L22" s="4">
        <v>0</v>
      </c>
      <c r="M22" s="4">
        <v>0</v>
      </c>
      <c r="N22" s="4">
        <v>-9640836.2100000009</v>
      </c>
      <c r="O22" s="4">
        <v>-9640836.2100000009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-9640836.2100000009</v>
      </c>
      <c r="AE22" s="4">
        <v>-9640836.2100000009</v>
      </c>
    </row>
    <row r="23" spans="1:31" s="6" customFormat="1">
      <c r="A23" s="6" t="s">
        <v>24</v>
      </c>
      <c r="B23" s="6">
        <v>290100</v>
      </c>
      <c r="C23" s="6" t="s">
        <v>24</v>
      </c>
      <c r="D23" s="6">
        <v>5091</v>
      </c>
      <c r="E23" s="6">
        <v>458</v>
      </c>
      <c r="F23" s="6">
        <v>157384</v>
      </c>
      <c r="G23" s="4">
        <v>162933</v>
      </c>
      <c r="H23" s="6">
        <v>0</v>
      </c>
      <c r="I23" s="6">
        <v>0</v>
      </c>
      <c r="J23" s="6">
        <v>0</v>
      </c>
      <c r="K23" s="4">
        <v>0</v>
      </c>
      <c r="L23" s="6">
        <v>603487.14</v>
      </c>
      <c r="M23" s="6">
        <v>49436.55</v>
      </c>
      <c r="N23" s="6">
        <v>2238009.7200000002</v>
      </c>
      <c r="O23" s="4">
        <v>2890933.41</v>
      </c>
      <c r="P23" s="6">
        <v>-603487.14</v>
      </c>
      <c r="Q23" s="6">
        <v>-49436.55</v>
      </c>
      <c r="R23" s="6">
        <v>-2238009.7200000002</v>
      </c>
      <c r="S23" s="4">
        <v>-2890933.41</v>
      </c>
      <c r="T23" s="6">
        <v>0</v>
      </c>
      <c r="U23" s="6">
        <v>0</v>
      </c>
      <c r="V23" s="6">
        <v>0</v>
      </c>
      <c r="W23" s="4">
        <v>0</v>
      </c>
      <c r="X23" s="6">
        <v>0</v>
      </c>
      <c r="Y23" s="6">
        <v>0</v>
      </c>
      <c r="Z23" s="6">
        <v>0</v>
      </c>
      <c r="AA23" s="4">
        <v>0</v>
      </c>
      <c r="AB23" s="6">
        <v>0</v>
      </c>
      <c r="AC23" s="6">
        <v>0</v>
      </c>
      <c r="AD23" s="6">
        <v>0</v>
      </c>
      <c r="AE23" s="4">
        <v>0</v>
      </c>
    </row>
    <row r="24" spans="1:31">
      <c r="A24" s="4" t="s">
        <v>24</v>
      </c>
      <c r="B24" s="4"/>
      <c r="C24" s="4"/>
      <c r="D24" s="4">
        <v>5091</v>
      </c>
      <c r="E24" s="4">
        <v>458</v>
      </c>
      <c r="F24" s="4">
        <v>157384</v>
      </c>
      <c r="G24" s="4">
        <v>162933</v>
      </c>
      <c r="H24" s="4">
        <v>0</v>
      </c>
      <c r="I24" s="4">
        <v>0</v>
      </c>
      <c r="J24" s="4">
        <v>0</v>
      </c>
      <c r="K24" s="4">
        <v>0</v>
      </c>
      <c r="L24" s="4">
        <v>603487.14</v>
      </c>
      <c r="M24" s="4">
        <v>49436.55</v>
      </c>
      <c r="N24" s="4">
        <v>2238009.7200000002</v>
      </c>
      <c r="O24" s="4">
        <v>2890933.41</v>
      </c>
      <c r="P24" s="4">
        <v>-603487.14</v>
      </c>
      <c r="Q24" s="4">
        <v>-49436.55</v>
      </c>
      <c r="R24" s="4">
        <v>-2238009.7200000002</v>
      </c>
      <c r="S24" s="4">
        <v>-2890933.41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 ht="14.25" customHeight="1">
      <c r="A25" t="s">
        <v>34</v>
      </c>
      <c r="B25">
        <v>290410</v>
      </c>
      <c r="C25" s="3" t="s">
        <v>35</v>
      </c>
      <c r="D25">
        <v>0</v>
      </c>
      <c r="E25">
        <v>0</v>
      </c>
      <c r="F25">
        <v>87273.64</v>
      </c>
      <c r="G25" s="4">
        <v>87273.64</v>
      </c>
      <c r="H25">
        <v>0</v>
      </c>
      <c r="I25">
        <v>0</v>
      </c>
      <c r="J25">
        <v>0</v>
      </c>
      <c r="K25" s="4">
        <v>0</v>
      </c>
      <c r="L25">
        <v>0</v>
      </c>
      <c r="M25">
        <v>0</v>
      </c>
      <c r="N25">
        <v>1241031.1599999999</v>
      </c>
      <c r="O25" s="4">
        <v>1241031.1599999999</v>
      </c>
      <c r="P25">
        <v>0</v>
      </c>
      <c r="Q25">
        <v>0</v>
      </c>
      <c r="R25">
        <v>0</v>
      </c>
      <c r="S25" s="4">
        <v>0</v>
      </c>
      <c r="T25">
        <v>0</v>
      </c>
      <c r="U25">
        <v>0</v>
      </c>
      <c r="V25">
        <v>-1241031.1599999999</v>
      </c>
      <c r="W25" s="4">
        <v>-1241031.1599999999</v>
      </c>
      <c r="X25">
        <v>0</v>
      </c>
      <c r="Y25">
        <v>0</v>
      </c>
      <c r="Z25">
        <v>0</v>
      </c>
      <c r="AA25" s="4">
        <v>0</v>
      </c>
      <c r="AB25">
        <v>0</v>
      </c>
      <c r="AC25">
        <v>0</v>
      </c>
      <c r="AD25">
        <v>0</v>
      </c>
      <c r="AE25" s="4">
        <v>0</v>
      </c>
    </row>
    <row r="26" spans="1:31">
      <c r="A26" s="4" t="s">
        <v>34</v>
      </c>
      <c r="B26" s="4"/>
      <c r="C26" s="4"/>
      <c r="D26" s="4">
        <v>0</v>
      </c>
      <c r="E26" s="4">
        <v>0</v>
      </c>
      <c r="F26" s="4">
        <v>87273.64</v>
      </c>
      <c r="G26" s="4">
        <v>87273.64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1241031.1599999999</v>
      </c>
      <c r="O26" s="4">
        <v>1241031.1599999999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-1241031.1599999999</v>
      </c>
      <c r="W26" s="4">
        <v>-1241031.1599999999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>
      <c r="A27" t="s">
        <v>36</v>
      </c>
      <c r="B27">
        <v>290510</v>
      </c>
      <c r="C27" t="s">
        <v>37</v>
      </c>
      <c r="D27">
        <v>0</v>
      </c>
      <c r="E27">
        <v>0</v>
      </c>
      <c r="F27">
        <v>0</v>
      </c>
      <c r="G27" s="4">
        <v>0</v>
      </c>
      <c r="H27">
        <v>0</v>
      </c>
      <c r="I27">
        <v>0</v>
      </c>
      <c r="J27">
        <v>0</v>
      </c>
      <c r="K27" s="4">
        <v>0</v>
      </c>
      <c r="L27">
        <v>0</v>
      </c>
      <c r="M27">
        <v>0</v>
      </c>
      <c r="N27">
        <v>0</v>
      </c>
      <c r="O27" s="4">
        <v>0</v>
      </c>
      <c r="P27">
        <v>0</v>
      </c>
      <c r="Q27">
        <v>0</v>
      </c>
      <c r="R27">
        <v>0</v>
      </c>
      <c r="S27" s="4">
        <v>0</v>
      </c>
      <c r="T27">
        <v>0</v>
      </c>
      <c r="U27">
        <v>0</v>
      </c>
      <c r="V27">
        <v>0</v>
      </c>
      <c r="W27" s="4">
        <v>0</v>
      </c>
      <c r="X27">
        <v>0</v>
      </c>
      <c r="Y27">
        <v>0</v>
      </c>
      <c r="Z27">
        <v>0</v>
      </c>
      <c r="AA27" s="4">
        <v>0</v>
      </c>
      <c r="AB27">
        <v>0</v>
      </c>
      <c r="AC27">
        <v>0</v>
      </c>
      <c r="AD27">
        <v>0</v>
      </c>
      <c r="AE27" s="4">
        <v>0</v>
      </c>
    </row>
    <row r="28" spans="1:31">
      <c r="A28" s="4" t="s">
        <v>36</v>
      </c>
      <c r="B28" s="4"/>
      <c r="C28" s="4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>
      <c r="A29" t="s">
        <v>38</v>
      </c>
      <c r="B29">
        <v>380900</v>
      </c>
      <c r="C29" t="s">
        <v>38</v>
      </c>
      <c r="D29">
        <v>0</v>
      </c>
      <c r="E29">
        <v>0</v>
      </c>
      <c r="F29">
        <v>0</v>
      </c>
      <c r="G29" s="4">
        <v>0</v>
      </c>
      <c r="H29">
        <v>0</v>
      </c>
      <c r="I29">
        <v>0</v>
      </c>
      <c r="J29">
        <v>0</v>
      </c>
      <c r="K29" s="4">
        <v>0</v>
      </c>
      <c r="L29">
        <v>0</v>
      </c>
      <c r="M29">
        <v>0</v>
      </c>
      <c r="N29">
        <v>0</v>
      </c>
      <c r="O29" s="4">
        <v>0</v>
      </c>
      <c r="P29">
        <v>0</v>
      </c>
      <c r="Q29">
        <v>0</v>
      </c>
      <c r="R29">
        <v>0</v>
      </c>
      <c r="S29" s="4">
        <v>0</v>
      </c>
      <c r="T29">
        <v>0</v>
      </c>
      <c r="U29">
        <v>0</v>
      </c>
      <c r="V29">
        <v>0</v>
      </c>
      <c r="W29" s="4">
        <v>0</v>
      </c>
      <c r="X29">
        <v>0</v>
      </c>
      <c r="Y29">
        <v>0</v>
      </c>
      <c r="Z29">
        <v>0</v>
      </c>
      <c r="AA29" s="4">
        <v>0</v>
      </c>
      <c r="AB29">
        <v>0</v>
      </c>
      <c r="AC29">
        <v>0</v>
      </c>
      <c r="AD29">
        <v>0</v>
      </c>
      <c r="AE29" s="4">
        <v>0</v>
      </c>
    </row>
    <row r="30" spans="1:31">
      <c r="A30" s="4" t="s">
        <v>38</v>
      </c>
      <c r="B30" s="4"/>
      <c r="C30" s="4"/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</row>
    <row r="31" spans="1:31">
      <c r="A31" t="s">
        <v>39</v>
      </c>
      <c r="B31">
        <v>390000</v>
      </c>
      <c r="C31" t="s">
        <v>40</v>
      </c>
      <c r="D31">
        <v>134095.65</v>
      </c>
      <c r="E31">
        <v>30741.67</v>
      </c>
      <c r="F31">
        <v>12162141.569999998</v>
      </c>
      <c r="G31" s="4">
        <v>12326978.889999999</v>
      </c>
      <c r="H31">
        <v>0</v>
      </c>
      <c r="I31">
        <v>0</v>
      </c>
      <c r="J31">
        <v>677977.23</v>
      </c>
      <c r="K31" s="4">
        <v>677977.23</v>
      </c>
      <c r="L31">
        <v>15895698.35</v>
      </c>
      <c r="M31">
        <v>3314511.87</v>
      </c>
      <c r="N31">
        <v>182586480.11000001</v>
      </c>
      <c r="O31" s="4">
        <v>201796690.33000001</v>
      </c>
      <c r="P31">
        <v>0</v>
      </c>
      <c r="Q31">
        <v>0</v>
      </c>
      <c r="R31">
        <v>0</v>
      </c>
      <c r="S31" s="4">
        <v>0</v>
      </c>
      <c r="T31">
        <v>-15412926.42</v>
      </c>
      <c r="U31">
        <v>-8023101.8399999999</v>
      </c>
      <c r="V31">
        <v>-99044985.590000004</v>
      </c>
      <c r="W31" s="4">
        <v>-122481013.84999999</v>
      </c>
      <c r="X31">
        <v>0</v>
      </c>
      <c r="Y31">
        <v>0</v>
      </c>
      <c r="Z31">
        <v>0</v>
      </c>
      <c r="AA31" s="4">
        <v>0</v>
      </c>
      <c r="AB31" s="3">
        <f>-SUM(AB20+AB17+AB8+AB11+AB15+AB22+AB26)</f>
        <v>482771.92999999691</v>
      </c>
      <c r="AC31">
        <v>-4708589.97</v>
      </c>
      <c r="AD31">
        <v>83541494.520000011</v>
      </c>
      <c r="AE31" s="4">
        <v>79315676.480000004</v>
      </c>
    </row>
    <row r="32" spans="1:31">
      <c r="A32" s="4" t="s">
        <v>39</v>
      </c>
      <c r="B32" s="4"/>
      <c r="C32" s="4"/>
      <c r="D32" s="4">
        <v>134095.65</v>
      </c>
      <c r="E32" s="4">
        <v>30741.67</v>
      </c>
      <c r="F32" s="4">
        <v>12162141.569999998</v>
      </c>
      <c r="G32" s="4">
        <v>12326978.889999999</v>
      </c>
      <c r="H32" s="4">
        <v>0</v>
      </c>
      <c r="I32" s="4">
        <v>0</v>
      </c>
      <c r="J32" s="4">
        <v>677977.23</v>
      </c>
      <c r="K32" s="4">
        <v>677977.23</v>
      </c>
      <c r="L32" s="4">
        <v>15895698.35</v>
      </c>
      <c r="M32" s="4">
        <v>3314511.87</v>
      </c>
      <c r="N32" s="4">
        <v>182586480.11000001</v>
      </c>
      <c r="O32" s="4">
        <v>201796690.33000001</v>
      </c>
      <c r="P32" s="4">
        <v>0</v>
      </c>
      <c r="Q32" s="4">
        <v>0</v>
      </c>
      <c r="R32" s="4">
        <v>0</v>
      </c>
      <c r="S32" s="4">
        <v>0</v>
      </c>
      <c r="T32" s="4">
        <v>-15412926.42</v>
      </c>
      <c r="U32" s="4">
        <v>-8023101.8399999999</v>
      </c>
      <c r="V32" s="4">
        <v>-99044985.590000004</v>
      </c>
      <c r="W32" s="4">
        <v>-122481013.84999999</v>
      </c>
      <c r="X32" s="4">
        <v>0</v>
      </c>
      <c r="Y32" s="4">
        <v>0</v>
      </c>
      <c r="Z32" s="4">
        <v>0</v>
      </c>
      <c r="AA32" s="4">
        <v>0</v>
      </c>
      <c r="AB32" s="4">
        <v>482771.92999999691</v>
      </c>
      <c r="AC32" s="4">
        <v>-4708589.97</v>
      </c>
      <c r="AD32" s="4">
        <v>83541494.520000011</v>
      </c>
      <c r="AE32" s="4">
        <v>79315676.480000004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2026-06-19T20:38:27Z</dcterms:created>
  <dcterms:modified xsi:type="dcterms:W3CDTF">2026-06-21T17:42:07Z</dcterms:modified>
  <cp:category/>
  <cp:contentStatus/>
</cp:coreProperties>
</file>