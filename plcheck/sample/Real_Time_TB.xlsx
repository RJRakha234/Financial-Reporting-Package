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8602357E-0D83-48E6-836E-7F597BD6D3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" i="1" l="1"/>
  <c r="E23" i="1"/>
  <c r="D23" i="1"/>
  <c r="C23" i="1"/>
</calcChain>
</file>

<file path=xl/sharedStrings.xml><?xml version="1.0" encoding="utf-8"?>
<sst xmlns="http://schemas.openxmlformats.org/spreadsheetml/2006/main" count="34" uniqueCount="29">
  <si>
    <t>Trial Balance- Real time Companywise</t>
  </si>
  <si>
    <t>List of Exceptions</t>
  </si>
  <si>
    <t>No exceptions defined</t>
  </si>
  <si>
    <t>Company</t>
  </si>
  <si>
    <t>ATI10N</t>
  </si>
  <si>
    <t>BALSCH</t>
  </si>
  <si>
    <t>BALSDE</t>
  </si>
  <si>
    <t>BALSDK</t>
  </si>
  <si>
    <t>Inf Aus Tech Serv Pty Ltd</t>
  </si>
  <si>
    <t>Base life science AG</t>
  </si>
  <si>
    <t>Base life science GmbH</t>
  </si>
  <si>
    <t>Base life science A/S</t>
  </si>
  <si>
    <t>Sales for the Period</t>
  </si>
  <si>
    <t>Group Account Number</t>
  </si>
  <si>
    <t>AUD</t>
  </si>
  <si>
    <t>CHF</t>
  </si>
  <si>
    <t>EUR</t>
  </si>
  <si>
    <t>DKK</t>
  </si>
  <si>
    <t>Overseas Salaries excluding Medical Insu</t>
  </si>
  <si>
    <t>Marketing expenses</t>
  </si>
  <si>
    <t>Sales promotion expenses</t>
  </si>
  <si>
    <t>Depreciation</t>
  </si>
  <si>
    <t>Interest expense on Loan from Subsidiary</t>
  </si>
  <si>
    <t>Provision for Deferred taxes - Overseas</t>
  </si>
  <si>
    <t>Overseas - Others</t>
  </si>
  <si>
    <t>Overseas Inter company transfer</t>
  </si>
  <si>
    <t>Interest received on Bank acccounts A/c</t>
  </si>
  <si>
    <t>Translation differences</t>
  </si>
  <si>
    <t>Assets/ Liabiities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</si>
</sst>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B12" sqref="B12"/>
    </sheetView>
  </sheetViews>
  <sheetFormatPr defaultRowHeight="15"/>
  <cols>
    <col min="1" max="1" width="34" bestFit="1" customWidth="1"/>
    <col min="2" max="2" width="36.5703125" bestFit="1" customWidth="1"/>
    <col min="3" max="3" width="22.28515625" bestFit="1" customWidth="1"/>
    <col min="4" max="4" width="18.140625" bestFit="1" customWidth="1"/>
    <col min="5" max="5" width="21" bestFit="1" customWidth="1"/>
    <col min="6" max="6" width="18.5703125" bestFit="1" customWidth="1"/>
  </cols>
  <sheetData>
    <row r="1" spans="1:6">
      <c r="A1" s="1" t="s">
        <v>0</v>
      </c>
    </row>
    <row r="3" spans="1:6">
      <c r="A3" t="s">
        <v>1</v>
      </c>
    </row>
    <row r="4" spans="1:6">
      <c r="A4" t="s">
        <v>2</v>
      </c>
    </row>
    <row r="6" spans="1:6">
      <c r="B6" t="s">
        <v>3</v>
      </c>
      <c r="C6" t="s">
        <v>4</v>
      </c>
      <c r="D6" t="s">
        <v>5</v>
      </c>
      <c r="E6" t="s">
        <v>6</v>
      </c>
      <c r="F6" t="s">
        <v>7</v>
      </c>
    </row>
    <row r="7" spans="1:6">
      <c r="C7" t="s">
        <v>8</v>
      </c>
      <c r="D7" t="s">
        <v>9</v>
      </c>
      <c r="E7" t="s">
        <v>10</v>
      </c>
      <c r="F7" t="s">
        <v>11</v>
      </c>
    </row>
    <row r="8" spans="1:6">
      <c r="C8" t="s">
        <v>12</v>
      </c>
      <c r="D8" t="s">
        <v>12</v>
      </c>
      <c r="E8" t="s">
        <v>12</v>
      </c>
      <c r="F8" t="s">
        <v>12</v>
      </c>
    </row>
    <row r="9" spans="1:6">
      <c r="A9" t="s">
        <v>13</v>
      </c>
      <c r="C9" t="s">
        <v>14</v>
      </c>
      <c r="D9" t="s">
        <v>15</v>
      </c>
      <c r="E9" t="s">
        <v>16</v>
      </c>
      <c r="F9" t="s">
        <v>17</v>
      </c>
    </row>
    <row r="10" spans="1:6">
      <c r="A10">
        <v>110200</v>
      </c>
      <c r="B10" t="s">
        <v>18</v>
      </c>
      <c r="C10">
        <v>0</v>
      </c>
      <c r="D10">
        <v>338412.73</v>
      </c>
      <c r="E10">
        <v>134378.32999999999</v>
      </c>
      <c r="F10">
        <v>7756557.8799999999</v>
      </c>
    </row>
    <row r="11" spans="1:6">
      <c r="A11">
        <v>212300</v>
      </c>
      <c r="B11" t="s">
        <v>19</v>
      </c>
      <c r="C11">
        <v>0</v>
      </c>
      <c r="D11">
        <v>0</v>
      </c>
      <c r="E11">
        <v>0</v>
      </c>
      <c r="F11">
        <v>356515.24</v>
      </c>
    </row>
    <row r="12" spans="1:6">
      <c r="A12">
        <v>212400</v>
      </c>
      <c r="B12" t="s">
        <v>20</v>
      </c>
      <c r="C12">
        <v>0</v>
      </c>
      <c r="D12">
        <v>0</v>
      </c>
      <c r="E12">
        <v>0</v>
      </c>
      <c r="F12">
        <v>107043.23</v>
      </c>
    </row>
    <row r="13" spans="1:6">
      <c r="A13">
        <v>290100</v>
      </c>
      <c r="B13" t="s">
        <v>21</v>
      </c>
      <c r="C13">
        <v>0</v>
      </c>
      <c r="D13">
        <v>5091</v>
      </c>
      <c r="E13">
        <v>458.51</v>
      </c>
      <c r="F13">
        <v>157384.65</v>
      </c>
    </row>
    <row r="14" spans="1:6" ht="30.75">
      <c r="A14">
        <v>290410</v>
      </c>
      <c r="B14" s="2" t="s">
        <v>22</v>
      </c>
      <c r="C14">
        <v>0</v>
      </c>
      <c r="D14">
        <v>0</v>
      </c>
      <c r="E14">
        <v>0</v>
      </c>
      <c r="F14">
        <v>87273.64</v>
      </c>
    </row>
    <row r="15" spans="1:6">
      <c r="A15">
        <v>290900</v>
      </c>
      <c r="B15" t="s">
        <v>23</v>
      </c>
      <c r="C15">
        <v>0</v>
      </c>
      <c r="D15">
        <v>0</v>
      </c>
      <c r="E15">
        <v>0</v>
      </c>
      <c r="F15">
        <v>0</v>
      </c>
    </row>
    <row r="16" spans="1:6">
      <c r="A16">
        <v>311025</v>
      </c>
      <c r="B16" t="s">
        <v>24</v>
      </c>
      <c r="C16">
        <v>0</v>
      </c>
      <c r="D16">
        <v>-355672.13</v>
      </c>
      <c r="E16">
        <v>-91166</v>
      </c>
      <c r="F16">
        <v>-13439774.699999999</v>
      </c>
    </row>
    <row r="17" spans="1:6">
      <c r="A17">
        <v>311030</v>
      </c>
      <c r="B17" t="s">
        <v>25</v>
      </c>
      <c r="C17">
        <v>0</v>
      </c>
      <c r="D17">
        <v>-130023</v>
      </c>
      <c r="E17">
        <v>-74412</v>
      </c>
      <c r="F17">
        <v>-7052462.5</v>
      </c>
    </row>
    <row r="18" spans="1:6">
      <c r="A18">
        <v>331001</v>
      </c>
      <c r="B18" t="s">
        <v>26</v>
      </c>
      <c r="C18">
        <v>0</v>
      </c>
      <c r="D18">
        <v>0</v>
      </c>
      <c r="E18">
        <v>0</v>
      </c>
      <c r="F18">
        <v>-14548.69</v>
      </c>
    </row>
    <row r="19" spans="1:6">
      <c r="A19">
        <v>334000</v>
      </c>
      <c r="B19" t="s">
        <v>27</v>
      </c>
      <c r="C19">
        <v>0</v>
      </c>
      <c r="D19">
        <v>8095.75</v>
      </c>
      <c r="E19">
        <v>0</v>
      </c>
      <c r="F19">
        <v>-120129.67</v>
      </c>
    </row>
    <row r="20" spans="1:6">
      <c r="A20">
        <v>445600</v>
      </c>
      <c r="B20" t="s">
        <v>28</v>
      </c>
      <c r="C20">
        <v>2300</v>
      </c>
      <c r="D20">
        <v>0</v>
      </c>
      <c r="E20">
        <v>8000</v>
      </c>
      <c r="F20">
        <v>9000</v>
      </c>
    </row>
    <row r="21" spans="1:6">
      <c r="A21">
        <v>885900</v>
      </c>
      <c r="B21" t="s">
        <v>28</v>
      </c>
      <c r="C21">
        <v>4500</v>
      </c>
      <c r="D21">
        <v>6000</v>
      </c>
      <c r="E21">
        <v>0</v>
      </c>
      <c r="F21">
        <v>0</v>
      </c>
    </row>
    <row r="22" spans="1:6">
      <c r="A22">
        <v>995600</v>
      </c>
      <c r="B22" t="s">
        <v>28</v>
      </c>
      <c r="C22">
        <v>6700</v>
      </c>
      <c r="D22">
        <v>0</v>
      </c>
      <c r="E22">
        <v>0</v>
      </c>
      <c r="F22">
        <v>1000</v>
      </c>
    </row>
    <row r="23" spans="1:6">
      <c r="C23" s="1">
        <f>SUM(C10:C19)</f>
        <v>0</v>
      </c>
      <c r="D23" s="1">
        <f t="shared" ref="D23:F23" si="0">SUM(D10:D19)</f>
        <v>-134095.65000000002</v>
      </c>
      <c r="E23" s="1">
        <f t="shared" si="0"/>
        <v>-30741.160000000003</v>
      </c>
      <c r="F23" s="1">
        <f t="shared" si="0"/>
        <v>-12162140.919999998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2026-06-20T08:23:14Z</dcterms:created>
  <dcterms:modified xsi:type="dcterms:W3CDTF">2026-06-21T09:10:21Z</dcterms:modified>
  <cp:category/>
  <cp:contentStatus/>
</cp:coreProperties>
</file>