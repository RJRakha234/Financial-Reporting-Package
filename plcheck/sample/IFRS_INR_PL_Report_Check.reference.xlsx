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m\Downloads\"/>
    </mc:Choice>
  </mc:AlternateContent>
  <xr:revisionPtr revIDLastSave="0" documentId="13_ncr:1_{D09708C7-3463-4AC7-A647-D1916BB0F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" sheetId="1" r:id="rId1"/>
    <sheet name="MA rates" sheetId="4" r:id="rId2"/>
    <sheet name="Real Time TB" sheetId="3" r:id="rId3"/>
    <sheet name="Aggregate Exp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34" i="1" l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I33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U3" i="1"/>
  <c r="S3" i="1"/>
  <c r="Q3" i="1"/>
  <c r="J42" i="1"/>
  <c r="J38" i="1"/>
  <c r="J43" i="1" s="1"/>
  <c r="J37" i="1"/>
  <c r="J36" i="1"/>
  <c r="J40" i="1" s="1"/>
  <c r="H42" i="1"/>
  <c r="H38" i="1"/>
  <c r="H43" i="1" s="1"/>
  <c r="H37" i="1"/>
  <c r="H36" i="1"/>
  <c r="H40" i="1" s="1"/>
  <c r="F42" i="1"/>
  <c r="F38" i="1"/>
  <c r="F43" i="1" s="1"/>
  <c r="F37" i="1"/>
  <c r="F36" i="1"/>
  <c r="F40" i="1" s="1"/>
  <c r="J29" i="1"/>
  <c r="J3" i="1"/>
  <c r="J2" i="1"/>
  <c r="H29" i="1"/>
  <c r="H3" i="1"/>
  <c r="H2" i="1"/>
  <c r="F29" i="1"/>
  <c r="F2" i="1"/>
  <c r="F23" i="3"/>
  <c r="E23" i="3"/>
  <c r="D23" i="3"/>
  <c r="C23" i="3"/>
  <c r="F3" i="1"/>
  <c r="AJ4" i="1" l="1"/>
  <c r="AL4" i="1"/>
  <c r="AN4" i="1"/>
  <c r="Q1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4" i="1"/>
  <c r="Q13" i="1"/>
  <c r="Q12" i="1"/>
  <c r="Q11" i="1"/>
  <c r="Q10" i="1"/>
  <c r="Q9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F20" i="1"/>
  <c r="F19" i="1"/>
  <c r="F17" i="1"/>
  <c r="F16" i="1"/>
  <c r="F15" i="1"/>
  <c r="F13" i="1"/>
  <c r="F12" i="1"/>
  <c r="F27" i="1"/>
  <c r="F25" i="1"/>
  <c r="F23" i="1"/>
  <c r="F22" i="1"/>
  <c r="F10" i="1"/>
  <c r="F9" i="1"/>
  <c r="F4" i="1" s="1"/>
  <c r="J27" i="1"/>
  <c r="J25" i="1"/>
  <c r="J23" i="1"/>
  <c r="J22" i="1"/>
  <c r="J10" i="1"/>
  <c r="J9" i="1"/>
  <c r="J20" i="1"/>
  <c r="J19" i="1"/>
  <c r="J17" i="1"/>
  <c r="J16" i="1"/>
  <c r="J15" i="1"/>
  <c r="J13" i="1"/>
  <c r="J12" i="1"/>
  <c r="H27" i="1"/>
  <c r="H25" i="1"/>
  <c r="H23" i="1"/>
  <c r="H22" i="1"/>
  <c r="H10" i="1"/>
  <c r="H9" i="1"/>
  <c r="H20" i="1"/>
  <c r="H19" i="1"/>
  <c r="H17" i="1"/>
  <c r="H16" i="1"/>
  <c r="H15" i="1"/>
  <c r="H13" i="1"/>
  <c r="H12" i="1"/>
  <c r="S4" i="1" l="1"/>
  <c r="U4" i="1"/>
  <c r="Q4" i="1"/>
  <c r="H4" i="1"/>
  <c r="J4" i="1"/>
</calcChain>
</file>

<file path=xl/sharedStrings.xml><?xml version="1.0" encoding="utf-8"?>
<sst xmlns="http://schemas.openxmlformats.org/spreadsheetml/2006/main" count="310" uniqueCount="81">
  <si>
    <t>Real Time TB</t>
  </si>
  <si>
    <t>Aggregate Exp</t>
  </si>
  <si>
    <t>Sum of Differences</t>
  </si>
  <si>
    <t>LC - Balance</t>
  </si>
  <si>
    <t>LC - Consol</t>
  </si>
  <si>
    <t>GC - Balance</t>
  </si>
  <si>
    <t>GC - Reclass</t>
  </si>
  <si>
    <t>GC - Elimination</t>
  </si>
  <si>
    <t>GC - Consol</t>
  </si>
  <si>
    <t>GC - Total</t>
  </si>
  <si>
    <t>BALSCH</t>
  </si>
  <si>
    <t>BALSDE</t>
  </si>
  <si>
    <t>BALSDK</t>
  </si>
  <si>
    <t>Overall Result</t>
  </si>
  <si>
    <t>Base life science AG</t>
  </si>
  <si>
    <t>Base life science GmbH</t>
  </si>
  <si>
    <t>Base life science A/S</t>
  </si>
  <si>
    <t>GLACCOUNT</t>
  </si>
  <si>
    <t>GL Description | Currency</t>
  </si>
  <si>
    <t>CHF</t>
  </si>
  <si>
    <t>EUR</t>
  </si>
  <si>
    <t>DKK</t>
  </si>
  <si>
    <t>Income</t>
  </si>
  <si>
    <t>Revenue</t>
  </si>
  <si>
    <t>Overseas - Others</t>
  </si>
  <si>
    <t>Overseas Inter company transfer</t>
  </si>
  <si>
    <t>Expense</t>
  </si>
  <si>
    <t>Cost of Production</t>
  </si>
  <si>
    <t>Overseas Salaries  excluding Medical Insurance</t>
  </si>
  <si>
    <t>Depreciation</t>
  </si>
  <si>
    <t>Sales</t>
  </si>
  <si>
    <t>Marketing expenses</t>
  </si>
  <si>
    <t>Sales promotion expenses</t>
  </si>
  <si>
    <t>General Administration</t>
  </si>
  <si>
    <t>Other Income</t>
  </si>
  <si>
    <t>Interest received on Bank A/c</t>
  </si>
  <si>
    <t>Translation diff</t>
  </si>
  <si>
    <t>Provision for Tax</t>
  </si>
  <si>
    <t>Provision for Deferred taxes-overseas</t>
  </si>
  <si>
    <t>Interest</t>
  </si>
  <si>
    <t>Interest Expense on Loan from Subsidiary</t>
  </si>
  <si>
    <t>Provision for Investment</t>
  </si>
  <si>
    <t>Provision on investment - Subsidiary</t>
  </si>
  <si>
    <t>Minority Interest</t>
  </si>
  <si>
    <t>Net Profit</t>
  </si>
  <si>
    <t>P &amp; L Account</t>
  </si>
  <si>
    <t>Calc Check</t>
  </si>
  <si>
    <t>Net Profit as per Real Time TB</t>
  </si>
  <si>
    <t>Check</t>
  </si>
  <si>
    <t>ExRt</t>
  </si>
  <si>
    <t>Valid from</t>
  </si>
  <si>
    <t>From</t>
  </si>
  <si>
    <t>To</t>
  </si>
  <si>
    <t>Exch. Rate</t>
  </si>
  <si>
    <t>From Ratio</t>
  </si>
  <si>
    <t>MA</t>
  </si>
  <si>
    <t>31.03.2026</t>
  </si>
  <si>
    <t>TRY</t>
  </si>
  <si>
    <t>INR</t>
  </si>
  <si>
    <t>HUF</t>
  </si>
  <si>
    <t>JPY</t>
  </si>
  <si>
    <t>USD</t>
  </si>
  <si>
    <t>Trial Balance- Real time Companywise</t>
  </si>
  <si>
    <t>List of Exceptions</t>
  </si>
  <si>
    <t>No exceptions defined</t>
  </si>
  <si>
    <t>Company</t>
  </si>
  <si>
    <t>ATI10N</t>
  </si>
  <si>
    <t>Inf Aus Tech Serv Pty Ltd</t>
  </si>
  <si>
    <t>Sales for the Period</t>
  </si>
  <si>
    <t>Group Account Number</t>
  </si>
  <si>
    <t>AUD</t>
  </si>
  <si>
    <t>Overseas Salaries excluding Medical Insu</t>
  </si>
  <si>
    <t>Interest expense on Loan from Subsidiary</t>
  </si>
  <si>
    <t>Provision for Deferred taxes - Overseas</t>
  </si>
  <si>
    <t>Interest received on Bank acccounts A/c</t>
  </si>
  <si>
    <t>Translation differences</t>
  </si>
  <si>
    <t>Assets/ Liabiities</t>
  </si>
  <si>
    <t>Aggregate Expenses</t>
  </si>
  <si>
    <t>Cost of revenue</t>
  </si>
  <si>
    <t>Sales &amp; Marketing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</si>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</sst>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O43"/>
  <sheetViews>
    <sheetView tabSelected="1" topLeftCell="C11" workbookViewId="0">
      <selection activeCell="H28" sqref="H28"/>
    </sheetView>
  </sheetViews>
  <sheetFormatPr defaultRowHeight="14.4" x14ac:dyDescent="0.3"/>
  <cols>
    <col min="2" max="2" width="22.33203125" bestFit="1" customWidth="1"/>
    <col min="3" max="3" width="11.88671875" bestFit="1" customWidth="1"/>
    <col min="4" max="4" width="36.5546875" bestFit="1" customWidth="1"/>
    <col min="5" max="5" width="18.109375" bestFit="1" customWidth="1"/>
    <col min="6" max="6" width="18.109375" customWidth="1"/>
    <col min="7" max="7" width="21" bestFit="1" customWidth="1"/>
    <col min="8" max="8" width="21" customWidth="1"/>
    <col min="9" max="9" width="18.5546875" bestFit="1" customWidth="1"/>
    <col min="10" max="10" width="18.5546875" customWidth="1"/>
    <col min="11" max="11" width="13" bestFit="1" customWidth="1"/>
    <col min="12" max="12" width="18.109375" bestFit="1" customWidth="1"/>
    <col min="13" max="13" width="21" bestFit="1" customWidth="1"/>
    <col min="14" max="14" width="18.5546875" bestFit="1" customWidth="1"/>
    <col min="15" max="15" width="13.33203125" bestFit="1" customWidth="1"/>
    <col min="16" max="16" width="18.109375" bestFit="1" customWidth="1"/>
    <col min="17" max="17" width="18.109375" customWidth="1"/>
    <col min="18" max="18" width="21" bestFit="1" customWidth="1"/>
    <col min="19" max="19" width="21" customWidth="1"/>
    <col min="20" max="20" width="18.5546875" bestFit="1" customWidth="1"/>
    <col min="21" max="21" width="18.5546875" customWidth="1"/>
    <col min="22" max="22" width="13.33203125" bestFit="1" customWidth="1"/>
    <col min="23" max="23" width="18.109375" bestFit="1" customWidth="1"/>
    <col min="24" max="24" width="21" bestFit="1" customWidth="1"/>
    <col min="25" max="25" width="18.5546875" bestFit="1" customWidth="1"/>
    <col min="26" max="26" width="13.33203125" bestFit="1" customWidth="1"/>
    <col min="27" max="27" width="18.109375" bestFit="1" customWidth="1"/>
    <col min="28" max="28" width="21" bestFit="1" customWidth="1"/>
    <col min="29" max="29" width="18.5546875" bestFit="1" customWidth="1"/>
    <col min="30" max="30" width="14.88671875" bestFit="1" customWidth="1"/>
    <col min="31" max="31" width="18.109375" bestFit="1" customWidth="1"/>
    <col min="32" max="32" width="21" bestFit="1" customWidth="1"/>
    <col min="33" max="33" width="18.5546875" bestFit="1" customWidth="1"/>
    <col min="34" max="34" width="13.33203125" bestFit="1" customWidth="1"/>
    <col min="35" max="35" width="36.5546875" bestFit="1" customWidth="1"/>
    <col min="36" max="36" width="18.109375" customWidth="1"/>
    <col min="37" max="37" width="21" bestFit="1" customWidth="1"/>
    <col min="38" max="38" width="21" customWidth="1"/>
    <col min="39" max="39" width="18.5546875" bestFit="1" customWidth="1"/>
    <col min="40" max="40" width="18.5546875" customWidth="1"/>
    <col min="41" max="41" width="13.33203125" bestFit="1" customWidth="1"/>
  </cols>
  <sheetData>
    <row r="2" spans="1:41" x14ac:dyDescent="0.3">
      <c r="D2" t="s">
        <v>0</v>
      </c>
      <c r="F2">
        <f>MATCH(E6,'Real Time TB'!$A$6:$F$6,0)</f>
        <v>4</v>
      </c>
      <c r="H2">
        <f>MATCH(G6,'Real Time TB'!$A$6:$F$6,0)</f>
        <v>5</v>
      </c>
      <c r="J2">
        <f>MATCH(I6,'Real Time TB'!$A$6:$F$6,0)</f>
        <v>6</v>
      </c>
    </row>
    <row r="3" spans="1:41" x14ac:dyDescent="0.3">
      <c r="D3" t="s">
        <v>1</v>
      </c>
      <c r="F3">
        <f>MATCH(E6,'Aggregate Exp'!$A$7:$E$7,0)</f>
        <v>3</v>
      </c>
      <c r="H3">
        <f>MATCH(G6,'Aggregate Exp'!$A$7:$E$7,0)</f>
        <v>4</v>
      </c>
      <c r="J3">
        <f>MATCH(I6,'Aggregate Exp'!$A$7:$E$7,0)</f>
        <v>5</v>
      </c>
      <c r="Q3">
        <f>VLOOKUP(P8,'MA rates'!$C$2:$E$9,3,FALSE)</f>
        <v>118.54</v>
      </c>
      <c r="S3">
        <f>VLOOKUP(R8,'MA rates'!$C$2:$E$9,3,FALSE)</f>
        <v>107.82</v>
      </c>
      <c r="U3">
        <f>VLOOKUP(T8,'MA rates'!$C$2:$E$9,3,FALSE)</f>
        <v>14.22</v>
      </c>
    </row>
    <row r="4" spans="1:41" x14ac:dyDescent="0.3">
      <c r="D4" t="s">
        <v>2</v>
      </c>
      <c r="F4">
        <f>SUM(F9:F29)</f>
        <v>0</v>
      </c>
      <c r="H4">
        <f>SUM(H9:H29)</f>
        <v>0.50999999999999091</v>
      </c>
      <c r="J4">
        <f>SUM(J9:J29)</f>
        <v>0.64999999999417923</v>
      </c>
      <c r="Q4">
        <f>SUM(Q9:Q34)</f>
        <v>5.5879354476928711E-9</v>
      </c>
      <c r="S4">
        <f>SUM(S9:S34)</f>
        <v>-2.35741026699543E-9</v>
      </c>
      <c r="U4">
        <f>SUM(U9:U34)</f>
        <v>-6.8102963268756866E-9</v>
      </c>
      <c r="AJ4">
        <f>SUM(AJ9:AJ34)</f>
        <v>5.5879354476928711E-9</v>
      </c>
      <c r="AL4">
        <f>SUM(AL9:AL34)</f>
        <v>0</v>
      </c>
      <c r="AN4">
        <f>SUM(AN9:AN34)</f>
        <v>0</v>
      </c>
    </row>
    <row r="5" spans="1:41" x14ac:dyDescent="0.3">
      <c r="B5" s="1"/>
      <c r="C5" s="1"/>
      <c r="D5" s="1"/>
      <c r="E5" s="1" t="s">
        <v>3</v>
      </c>
      <c r="F5" s="1"/>
      <c r="G5" s="1" t="s">
        <v>3</v>
      </c>
      <c r="H5" s="1"/>
      <c r="I5" s="1" t="s">
        <v>3</v>
      </c>
      <c r="J5" s="1"/>
      <c r="K5" s="5" t="s">
        <v>3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5</v>
      </c>
      <c r="Q5" s="1"/>
      <c r="R5" s="1" t="s">
        <v>5</v>
      </c>
      <c r="S5" s="1"/>
      <c r="T5" s="1" t="s">
        <v>5</v>
      </c>
      <c r="U5" s="1"/>
      <c r="V5" s="1" t="s">
        <v>5</v>
      </c>
      <c r="W5" t="s">
        <v>6</v>
      </c>
      <c r="X5" t="s">
        <v>6</v>
      </c>
      <c r="Y5" t="s">
        <v>6</v>
      </c>
      <c r="Z5" t="s">
        <v>6</v>
      </c>
      <c r="AA5" t="s">
        <v>7</v>
      </c>
      <c r="AB5" t="s">
        <v>7</v>
      </c>
      <c r="AC5" t="s">
        <v>7</v>
      </c>
      <c r="AD5" t="s">
        <v>7</v>
      </c>
      <c r="AE5" t="s">
        <v>8</v>
      </c>
      <c r="AF5" t="s">
        <v>8</v>
      </c>
      <c r="AG5" t="s">
        <v>8</v>
      </c>
      <c r="AH5" t="s">
        <v>8</v>
      </c>
      <c r="AI5" t="s">
        <v>9</v>
      </c>
      <c r="AK5" t="s">
        <v>9</v>
      </c>
      <c r="AM5" t="s">
        <v>9</v>
      </c>
      <c r="AO5" t="s">
        <v>9</v>
      </c>
    </row>
    <row r="6" spans="1:41" x14ac:dyDescent="0.3">
      <c r="B6" s="1"/>
      <c r="C6" s="1"/>
      <c r="D6" s="1"/>
      <c r="E6" s="1" t="s">
        <v>10</v>
      </c>
      <c r="F6" s="1"/>
      <c r="G6" s="1" t="s">
        <v>11</v>
      </c>
      <c r="H6" s="1"/>
      <c r="I6" s="1" t="s">
        <v>12</v>
      </c>
      <c r="J6" s="1"/>
      <c r="K6" s="4" t="s">
        <v>13</v>
      </c>
      <c r="L6" s="1" t="s">
        <v>10</v>
      </c>
      <c r="M6" s="1" t="s">
        <v>11</v>
      </c>
      <c r="N6" s="1" t="s">
        <v>12</v>
      </c>
      <c r="O6" s="4" t="s">
        <v>13</v>
      </c>
      <c r="P6" s="1" t="s">
        <v>10</v>
      </c>
      <c r="Q6" s="1"/>
      <c r="R6" s="1" t="s">
        <v>11</v>
      </c>
      <c r="S6" s="1"/>
      <c r="T6" s="1" t="s">
        <v>12</v>
      </c>
      <c r="U6" s="1"/>
      <c r="V6" s="4" t="s">
        <v>13</v>
      </c>
      <c r="W6" s="1" t="s">
        <v>10</v>
      </c>
      <c r="X6" s="1" t="s">
        <v>11</v>
      </c>
      <c r="Y6" s="1" t="s">
        <v>12</v>
      </c>
      <c r="Z6" s="4" t="s">
        <v>13</v>
      </c>
      <c r="AA6" s="1" t="s">
        <v>10</v>
      </c>
      <c r="AB6" s="1" t="s">
        <v>11</v>
      </c>
      <c r="AC6" s="1" t="s">
        <v>12</v>
      </c>
      <c r="AD6" s="4" t="s">
        <v>13</v>
      </c>
      <c r="AE6" s="1" t="s">
        <v>10</v>
      </c>
      <c r="AF6" s="1" t="s">
        <v>11</v>
      </c>
      <c r="AG6" s="1" t="s">
        <v>12</v>
      </c>
      <c r="AH6" s="4" t="s">
        <v>13</v>
      </c>
      <c r="AI6" s="1" t="s">
        <v>10</v>
      </c>
      <c r="AJ6" s="1"/>
      <c r="AK6" s="1" t="s">
        <v>11</v>
      </c>
      <c r="AL6" s="1"/>
      <c r="AM6" s="1" t="s">
        <v>12</v>
      </c>
      <c r="AN6" s="1"/>
      <c r="AO6" s="4" t="s">
        <v>13</v>
      </c>
    </row>
    <row r="7" spans="1:41" x14ac:dyDescent="0.3">
      <c r="B7" s="1"/>
      <c r="C7" s="1"/>
      <c r="D7" s="1"/>
      <c r="E7" s="1" t="s">
        <v>14</v>
      </c>
      <c r="F7" s="1"/>
      <c r="G7" s="1" t="s">
        <v>15</v>
      </c>
      <c r="H7" s="1"/>
      <c r="I7" s="1" t="s">
        <v>16</v>
      </c>
      <c r="J7" s="1"/>
      <c r="K7" s="2"/>
      <c r="L7" s="1" t="s">
        <v>14</v>
      </c>
      <c r="M7" s="1" t="s">
        <v>15</v>
      </c>
      <c r="N7" s="1" t="s">
        <v>16</v>
      </c>
      <c r="O7" s="2"/>
      <c r="P7" s="1" t="s">
        <v>14</v>
      </c>
      <c r="Q7" s="1"/>
      <c r="R7" s="1" t="s">
        <v>15</v>
      </c>
      <c r="S7" s="1"/>
      <c r="T7" s="1" t="s">
        <v>16</v>
      </c>
      <c r="U7" s="1"/>
      <c r="V7" s="2"/>
      <c r="W7" s="1" t="s">
        <v>14</v>
      </c>
      <c r="X7" s="1" t="s">
        <v>15</v>
      </c>
      <c r="Y7" s="1" t="s">
        <v>16</v>
      </c>
      <c r="Z7" s="2"/>
      <c r="AA7" s="1" t="s">
        <v>14</v>
      </c>
      <c r="AB7" s="1" t="s">
        <v>15</v>
      </c>
      <c r="AC7" s="1" t="s">
        <v>16</v>
      </c>
      <c r="AD7" s="4"/>
      <c r="AE7" s="1" t="s">
        <v>14</v>
      </c>
      <c r="AF7" s="1" t="s">
        <v>15</v>
      </c>
      <c r="AG7" s="1" t="s">
        <v>16</v>
      </c>
      <c r="AH7" s="2"/>
      <c r="AI7" s="1" t="s">
        <v>14</v>
      </c>
      <c r="AJ7" s="1"/>
      <c r="AK7" s="1" t="s">
        <v>15</v>
      </c>
      <c r="AL7" s="1"/>
      <c r="AM7" s="1" t="s">
        <v>16</v>
      </c>
      <c r="AN7" s="1"/>
      <c r="AO7" s="2"/>
    </row>
    <row r="8" spans="1:41" x14ac:dyDescent="0.3">
      <c r="B8" s="1"/>
      <c r="C8" s="1" t="s">
        <v>17</v>
      </c>
      <c r="D8" s="1" t="s">
        <v>18</v>
      </c>
      <c r="E8" s="1" t="s">
        <v>19</v>
      </c>
      <c r="F8" s="1"/>
      <c r="G8" s="1" t="s">
        <v>20</v>
      </c>
      <c r="H8" s="1"/>
      <c r="I8" s="1" t="s">
        <v>21</v>
      </c>
      <c r="J8" s="1"/>
      <c r="K8" s="2"/>
      <c r="L8" s="1" t="s">
        <v>19</v>
      </c>
      <c r="M8" s="1" t="s">
        <v>20</v>
      </c>
      <c r="N8" s="1" t="s">
        <v>21</v>
      </c>
      <c r="O8" s="2"/>
      <c r="P8" s="1" t="s">
        <v>19</v>
      </c>
      <c r="Q8" s="1"/>
      <c r="R8" s="1" t="s">
        <v>20</v>
      </c>
      <c r="S8" s="1"/>
      <c r="T8" s="1" t="s">
        <v>21</v>
      </c>
      <c r="U8" s="1"/>
      <c r="V8" s="2"/>
      <c r="W8" s="1" t="s">
        <v>19</v>
      </c>
      <c r="X8" s="1" t="s">
        <v>20</v>
      </c>
      <c r="Y8" s="1" t="s">
        <v>21</v>
      </c>
      <c r="Z8" s="2"/>
      <c r="AA8" s="1" t="s">
        <v>19</v>
      </c>
      <c r="AB8" s="1" t="s">
        <v>20</v>
      </c>
      <c r="AC8" s="1" t="s">
        <v>21</v>
      </c>
      <c r="AD8" s="4"/>
      <c r="AE8" s="1" t="s">
        <v>19</v>
      </c>
      <c r="AF8" s="1" t="s">
        <v>20</v>
      </c>
      <c r="AG8" s="1" t="s">
        <v>21</v>
      </c>
      <c r="AH8" s="2"/>
      <c r="AI8" s="1" t="s">
        <v>19</v>
      </c>
      <c r="AJ8" s="1"/>
      <c r="AK8" s="1" t="s">
        <v>20</v>
      </c>
      <c r="AL8" s="1"/>
      <c r="AM8" s="1" t="s">
        <v>21</v>
      </c>
      <c r="AN8" s="1"/>
      <c r="AO8" s="2"/>
    </row>
    <row r="9" spans="1:41" x14ac:dyDescent="0.3">
      <c r="A9" t="s">
        <v>22</v>
      </c>
      <c r="B9" s="1" t="s">
        <v>23</v>
      </c>
      <c r="C9" s="1">
        <v>311025</v>
      </c>
      <c r="D9" s="1" t="s">
        <v>24</v>
      </c>
      <c r="E9" s="1">
        <v>-355672.13</v>
      </c>
      <c r="F9" s="1">
        <f>IFERROR(VLOOKUP($C9,'Real Time TB'!$A$6:$F$22,Check!F$2,FALSE),0)-E9</f>
        <v>0</v>
      </c>
      <c r="G9" s="1">
        <v>-91166</v>
      </c>
      <c r="H9" s="1">
        <f>IFERROR(VLOOKUP($C9,'Real Time TB'!$A$6:$F$22,Check!H$2,FALSE),0)-G9</f>
        <v>0</v>
      </c>
      <c r="I9" s="1">
        <v>-13439774.699999999</v>
      </c>
      <c r="J9" s="1">
        <f>IFERROR(VLOOKUP($C9,'Real Time TB'!$A$6:$F$22,Check!J$2,FALSE),0)-I9</f>
        <v>0</v>
      </c>
      <c r="K9" s="4">
        <v>-13886612.83</v>
      </c>
      <c r="L9">
        <v>0</v>
      </c>
      <c r="M9">
        <v>0</v>
      </c>
      <c r="N9">
        <v>0</v>
      </c>
      <c r="O9" s="4">
        <v>0</v>
      </c>
      <c r="P9">
        <v>-42161374.289999999</v>
      </c>
      <c r="Q9">
        <f>SUMIF($A$6:$N$6,P$6,$A9:$N9)*Q$3-P9</f>
        <v>-2.0000338554382324E-4</v>
      </c>
      <c r="R9">
        <v>-9829518.1199999992</v>
      </c>
      <c r="S9">
        <f>SUMIF($A$6:$N$6,R$6,$A9:$N9)*S$3-R9</f>
        <v>0</v>
      </c>
      <c r="T9">
        <v>-191113596.22999999</v>
      </c>
      <c r="U9">
        <f>SUMIF($A$6:$N$6,T$6,$A9:$N9)*U$3-T9</f>
        <v>-4.0000081062316895E-3</v>
      </c>
      <c r="V9" s="4">
        <v>-243104488.63999999</v>
      </c>
      <c r="W9">
        <v>0</v>
      </c>
      <c r="X9">
        <v>0</v>
      </c>
      <c r="Y9">
        <v>0</v>
      </c>
      <c r="Z9" s="4">
        <v>0</v>
      </c>
      <c r="AA9">
        <v>0</v>
      </c>
      <c r="AB9">
        <v>0</v>
      </c>
      <c r="AC9">
        <v>0</v>
      </c>
      <c r="AD9" s="4">
        <v>0</v>
      </c>
      <c r="AE9">
        <v>0</v>
      </c>
      <c r="AF9">
        <v>0</v>
      </c>
      <c r="AG9">
        <v>0</v>
      </c>
      <c r="AH9" s="4">
        <v>0</v>
      </c>
      <c r="AI9">
        <v>-42161374.289999999</v>
      </c>
      <c r="AJ9">
        <f>SUMIF($P$6:$AG$6,AI$6,$P9:$AG9)-AI9</f>
        <v>0</v>
      </c>
      <c r="AK9">
        <v>-9829518.1199999992</v>
      </c>
      <c r="AL9">
        <f>SUMIF($P$6:$AG$6,AK$6,$P9:$AG9)-AK9</f>
        <v>0</v>
      </c>
      <c r="AM9">
        <v>-191113596.22999999</v>
      </c>
      <c r="AN9">
        <f>SUMIF($P$6:$AG$6,AM$6,$P9:$AG9)-AM9</f>
        <v>0</v>
      </c>
      <c r="AO9" s="4">
        <v>-243104488.63999999</v>
      </c>
    </row>
    <row r="10" spans="1:41" x14ac:dyDescent="0.3">
      <c r="A10" t="s">
        <v>22</v>
      </c>
      <c r="B10" s="1" t="s">
        <v>23</v>
      </c>
      <c r="C10" s="1">
        <v>311030</v>
      </c>
      <c r="D10" s="1" t="s">
        <v>25</v>
      </c>
      <c r="E10" s="1">
        <v>-130023</v>
      </c>
      <c r="F10" s="1">
        <f>IFERROR(VLOOKUP($C10,'Real Time TB'!$A$6:$F$22,Check!F$2,FALSE),0)-E10</f>
        <v>0</v>
      </c>
      <c r="G10" s="1">
        <v>-74412</v>
      </c>
      <c r="H10" s="1">
        <f>IFERROR(VLOOKUP($C10,'Real Time TB'!$A$6:$F$22,Check!H$2,FALSE),0)-G10</f>
        <v>0</v>
      </c>
      <c r="I10" s="1">
        <v>-7052462.5</v>
      </c>
      <c r="J10" s="1">
        <f>IFERROR(VLOOKUP($C10,'Real Time TB'!$A$6:$F$22,Check!J$2,FALSE),0)-I10</f>
        <v>0</v>
      </c>
      <c r="K10" s="4">
        <v>-7256897.5</v>
      </c>
      <c r="L10">
        <v>0</v>
      </c>
      <c r="M10">
        <v>0</v>
      </c>
      <c r="N10">
        <v>0</v>
      </c>
      <c r="O10" s="4">
        <v>0</v>
      </c>
      <c r="P10">
        <v>-15412926.42</v>
      </c>
      <c r="Q10">
        <f t="shared" ref="Q10:S34" si="0">SUMIF($A$6:$N$6,P$6,$A10:$N10)*Q$3-P10</f>
        <v>0</v>
      </c>
      <c r="R10">
        <v>-8023101.8399999999</v>
      </c>
      <c r="S10">
        <f t="shared" si="0"/>
        <v>0</v>
      </c>
      <c r="T10">
        <v>-100286016.75</v>
      </c>
      <c r="U10">
        <f t="shared" ref="U10" si="1">SUMIF($A$6:$N$6,T$6,$A10:$N10)*U$3-T10</f>
        <v>0</v>
      </c>
      <c r="V10" s="4">
        <v>-123722045.00999999</v>
      </c>
      <c r="W10">
        <v>0</v>
      </c>
      <c r="X10">
        <v>0</v>
      </c>
      <c r="Y10">
        <v>0</v>
      </c>
      <c r="Z10" s="4">
        <v>0</v>
      </c>
      <c r="AA10">
        <v>15412926.42</v>
      </c>
      <c r="AB10">
        <v>8023101.8399999999</v>
      </c>
      <c r="AC10">
        <v>100286016.75</v>
      </c>
      <c r="AD10" s="4">
        <v>123722045.00999999</v>
      </c>
      <c r="AE10">
        <v>0</v>
      </c>
      <c r="AF10">
        <v>0</v>
      </c>
      <c r="AG10">
        <v>0</v>
      </c>
      <c r="AH10" s="4">
        <v>0</v>
      </c>
      <c r="AI10">
        <v>0</v>
      </c>
      <c r="AJ10">
        <f t="shared" ref="AJ10:AL34" si="2">SUMIF($P$6:$AG$6,AI$6,$P10:$AG10)-AI10</f>
        <v>0</v>
      </c>
      <c r="AK10">
        <v>0</v>
      </c>
      <c r="AL10">
        <f t="shared" si="2"/>
        <v>0</v>
      </c>
      <c r="AM10">
        <v>0</v>
      </c>
      <c r="AN10">
        <f t="shared" ref="AN10" si="3">SUMIF($P$6:$AG$6,AM$6,$P10:$AG10)-AM10</f>
        <v>0</v>
      </c>
      <c r="AO10" s="4">
        <v>0</v>
      </c>
    </row>
    <row r="11" spans="1:41" x14ac:dyDescent="0.3">
      <c r="B11" s="4" t="s">
        <v>23</v>
      </c>
      <c r="C11" s="4"/>
      <c r="D11" s="4"/>
      <c r="E11" s="4">
        <v>-485695.13</v>
      </c>
      <c r="F11" s="4"/>
      <c r="G11" s="4">
        <v>-165578</v>
      </c>
      <c r="H11" s="4"/>
      <c r="I11" s="4">
        <v>-20492237.199999999</v>
      </c>
      <c r="J11" s="4"/>
      <c r="K11" s="4">
        <v>-21143510.329999998</v>
      </c>
      <c r="L11" s="4">
        <v>0</v>
      </c>
      <c r="M11" s="4">
        <v>0</v>
      </c>
      <c r="N11" s="4">
        <v>0</v>
      </c>
      <c r="O11" s="4">
        <v>0</v>
      </c>
      <c r="P11" s="4">
        <v>-57574300.710000001</v>
      </c>
      <c r="Q11">
        <f t="shared" si="0"/>
        <v>-2.0000338554382324E-4</v>
      </c>
      <c r="R11" s="4">
        <v>-17852619.960000001</v>
      </c>
      <c r="S11">
        <f t="shared" si="0"/>
        <v>0</v>
      </c>
      <c r="T11" s="4">
        <v>-291399612.98000002</v>
      </c>
      <c r="U11">
        <f t="shared" ref="U11" si="4">SUMIF($A$6:$N$6,T$6,$A11:$N11)*U$3-T11</f>
        <v>-4.0000081062316895E-3</v>
      </c>
      <c r="V11" s="4">
        <v>-366826533.65000004</v>
      </c>
      <c r="W11" s="4">
        <v>0</v>
      </c>
      <c r="X11" s="4">
        <v>0</v>
      </c>
      <c r="Y11" s="4">
        <v>0</v>
      </c>
      <c r="Z11" s="4">
        <v>0</v>
      </c>
      <c r="AA11" s="4">
        <v>15412926.42</v>
      </c>
      <c r="AB11" s="4">
        <v>8023101.8399999999</v>
      </c>
      <c r="AC11" s="4">
        <v>100286016.75</v>
      </c>
      <c r="AD11" s="4">
        <v>123722045.00999999</v>
      </c>
      <c r="AE11" s="4">
        <v>0</v>
      </c>
      <c r="AF11" s="4">
        <v>0</v>
      </c>
      <c r="AG11" s="4">
        <v>0</v>
      </c>
      <c r="AH11" s="4">
        <v>0</v>
      </c>
      <c r="AI11" s="4">
        <v>-42161374.289999999</v>
      </c>
      <c r="AJ11">
        <f t="shared" si="2"/>
        <v>0</v>
      </c>
      <c r="AK11" s="4">
        <v>-9829518.1199999992</v>
      </c>
      <c r="AL11">
        <f t="shared" si="2"/>
        <v>0</v>
      </c>
      <c r="AM11" s="4">
        <v>-191113596.22999999</v>
      </c>
      <c r="AN11">
        <f t="shared" ref="AN11" si="5">SUMIF($P$6:$AG$6,AM$6,$P11:$AG11)-AM11</f>
        <v>0</v>
      </c>
      <c r="AO11" s="4">
        <v>-243104488.63999999</v>
      </c>
    </row>
    <row r="12" spans="1:41" ht="28.8" x14ac:dyDescent="0.3">
      <c r="A12" t="s">
        <v>26</v>
      </c>
      <c r="B12" t="s">
        <v>27</v>
      </c>
      <c r="C12">
        <v>110200</v>
      </c>
      <c r="D12" s="3" t="s">
        <v>28</v>
      </c>
      <c r="E12">
        <v>266422.58</v>
      </c>
      <c r="F12">
        <f>IFERROR(VLOOKUP($C12,'Aggregate Exp'!$A$7:$E$12,Check!F$3,FALSE),0)-E12</f>
        <v>0</v>
      </c>
      <c r="G12">
        <v>118158.39999999999</v>
      </c>
      <c r="H12">
        <f>IFERROR(VLOOKUP($C12,'Aggregate Exp'!$A$7:$E$12,Check!H$3,FALSE),0)-G12</f>
        <v>0</v>
      </c>
      <c r="I12">
        <v>6290519.8399999999</v>
      </c>
      <c r="J12">
        <f>IFERROR(VLOOKUP($C12,'Aggregate Exp'!$A$7:$E$12,Check!J$3,FALSE),0)-I12</f>
        <v>0</v>
      </c>
      <c r="K12" s="4">
        <v>6675100.8200000003</v>
      </c>
      <c r="L12">
        <v>0</v>
      </c>
      <c r="M12">
        <v>0</v>
      </c>
      <c r="N12">
        <v>0</v>
      </c>
      <c r="O12" s="4">
        <v>0</v>
      </c>
      <c r="P12">
        <v>31581732.629999999</v>
      </c>
      <c r="Q12">
        <f t="shared" si="0"/>
        <v>3.2000057399272919E-3</v>
      </c>
      <c r="R12">
        <v>12739838.689999999</v>
      </c>
      <c r="S12">
        <f t="shared" si="0"/>
        <v>-2.0000003278255463E-3</v>
      </c>
      <c r="T12">
        <v>89451192.120000005</v>
      </c>
      <c r="U12">
        <f t="shared" ref="U12" si="6">SUMIF($A$6:$N$6,T$6,$A12:$N12)*U$3-T12</f>
        <v>4.7999918460845947E-3</v>
      </c>
      <c r="V12" s="4">
        <v>133772763.44</v>
      </c>
      <c r="W12">
        <v>0</v>
      </c>
      <c r="X12">
        <v>0</v>
      </c>
      <c r="Y12">
        <v>0</v>
      </c>
      <c r="Z12" s="4">
        <v>0</v>
      </c>
      <c r="AA12">
        <v>0</v>
      </c>
      <c r="AB12">
        <v>0</v>
      </c>
      <c r="AC12">
        <v>0</v>
      </c>
      <c r="AD12" s="4">
        <v>0</v>
      </c>
      <c r="AE12">
        <v>0</v>
      </c>
      <c r="AF12">
        <v>0</v>
      </c>
      <c r="AG12">
        <v>0</v>
      </c>
      <c r="AH12" s="4">
        <v>0</v>
      </c>
      <c r="AI12">
        <v>31581732.629999999</v>
      </c>
      <c r="AJ12">
        <f t="shared" si="2"/>
        <v>0</v>
      </c>
      <c r="AK12">
        <v>12739838.689999999</v>
      </c>
      <c r="AL12">
        <f t="shared" si="2"/>
        <v>0</v>
      </c>
      <c r="AM12">
        <v>89451192.120000005</v>
      </c>
      <c r="AN12">
        <f t="shared" ref="AN12" si="7">SUMIF($P$6:$AG$6,AM$6,$P12:$AG12)-AM12</f>
        <v>0</v>
      </c>
      <c r="AO12" s="4">
        <v>133772763.44</v>
      </c>
    </row>
    <row r="13" spans="1:41" x14ac:dyDescent="0.3">
      <c r="A13" t="s">
        <v>26</v>
      </c>
      <c r="B13" t="s">
        <v>27</v>
      </c>
      <c r="C13">
        <v>290100</v>
      </c>
      <c r="D13" t="s">
        <v>29</v>
      </c>
      <c r="E13">
        <v>0</v>
      </c>
      <c r="F13">
        <f>IFERROR(VLOOKUP($C13,'Aggregate Exp'!$A$7:$E$12,Check!F$3,FALSE),0)-E13</f>
        <v>0</v>
      </c>
      <c r="G13">
        <v>0</v>
      </c>
      <c r="H13">
        <f>IFERROR(VLOOKUP($C13,'Aggregate Exp'!$A$7:$E$12,Check!H$3,FALSE),0)-G13</f>
        <v>0</v>
      </c>
      <c r="I13">
        <v>0</v>
      </c>
      <c r="J13">
        <f>IFERROR(VLOOKUP($C13,'Aggregate Exp'!$A$7:$E$12,Check!J$3,FALSE),0)-I13</f>
        <v>0</v>
      </c>
      <c r="K13" s="4">
        <v>0</v>
      </c>
      <c r="L13">
        <v>0</v>
      </c>
      <c r="M13">
        <v>0</v>
      </c>
      <c r="N13">
        <v>0</v>
      </c>
      <c r="O13" s="4">
        <v>0</v>
      </c>
      <c r="P13">
        <v>0</v>
      </c>
      <c r="Q13">
        <f t="shared" si="0"/>
        <v>0</v>
      </c>
      <c r="R13">
        <v>0</v>
      </c>
      <c r="S13">
        <f t="shared" si="0"/>
        <v>0</v>
      </c>
      <c r="T13">
        <v>0</v>
      </c>
      <c r="U13">
        <f t="shared" ref="U13" si="8">SUMIF($A$6:$N$6,T$6,$A13:$N13)*U$3-T13</f>
        <v>0</v>
      </c>
      <c r="V13" s="4">
        <v>0</v>
      </c>
      <c r="W13">
        <v>603487.14</v>
      </c>
      <c r="X13">
        <v>49436.55</v>
      </c>
      <c r="Y13">
        <v>2238009.7200000002</v>
      </c>
      <c r="Z13" s="4">
        <v>2890933.41</v>
      </c>
      <c r="AA13">
        <v>0</v>
      </c>
      <c r="AB13">
        <v>0</v>
      </c>
      <c r="AC13">
        <v>0</v>
      </c>
      <c r="AD13" s="4">
        <v>0</v>
      </c>
      <c r="AE13">
        <v>0</v>
      </c>
      <c r="AF13">
        <v>0</v>
      </c>
      <c r="AG13">
        <v>0</v>
      </c>
      <c r="AH13" s="4">
        <v>0</v>
      </c>
      <c r="AI13">
        <v>603487.14</v>
      </c>
      <c r="AJ13">
        <f t="shared" si="2"/>
        <v>0</v>
      </c>
      <c r="AK13">
        <v>49436.55</v>
      </c>
      <c r="AL13">
        <f t="shared" si="2"/>
        <v>0</v>
      </c>
      <c r="AM13">
        <v>2238009.7200000002</v>
      </c>
      <c r="AN13">
        <f t="shared" ref="AN13" si="9">SUMIF($P$6:$AG$6,AM$6,$P13:$AG13)-AM13</f>
        <v>0</v>
      </c>
      <c r="AO13" s="4">
        <v>2890933.41</v>
      </c>
    </row>
    <row r="14" spans="1:41" x14ac:dyDescent="0.3">
      <c r="B14" s="4" t="s">
        <v>27</v>
      </c>
      <c r="C14" s="4"/>
      <c r="D14" s="4"/>
      <c r="E14" s="4">
        <v>266422.58</v>
      </c>
      <c r="F14" s="4"/>
      <c r="G14" s="4">
        <v>118158.39999999999</v>
      </c>
      <c r="H14" s="4"/>
      <c r="I14" s="4">
        <v>6290519.8399999999</v>
      </c>
      <c r="J14" s="4"/>
      <c r="K14" s="4">
        <v>6675100.8200000003</v>
      </c>
      <c r="L14" s="4">
        <v>0</v>
      </c>
      <c r="M14" s="4">
        <v>0</v>
      </c>
      <c r="N14" s="4">
        <v>0</v>
      </c>
      <c r="O14" s="4">
        <v>0</v>
      </c>
      <c r="P14" s="4">
        <v>31581732.629999999</v>
      </c>
      <c r="Q14">
        <f t="shared" si="0"/>
        <v>3.2000057399272919E-3</v>
      </c>
      <c r="R14" s="4">
        <v>12739838.689999999</v>
      </c>
      <c r="S14">
        <f t="shared" si="0"/>
        <v>-2.0000003278255463E-3</v>
      </c>
      <c r="T14" s="4">
        <v>89451192.120000005</v>
      </c>
      <c r="U14">
        <f t="shared" ref="U14" si="10">SUMIF($A$6:$N$6,T$6,$A14:$N14)*U$3-T14</f>
        <v>4.7999918460845947E-3</v>
      </c>
      <c r="V14" s="4">
        <v>133772763.44</v>
      </c>
      <c r="W14" s="4">
        <v>603487.14</v>
      </c>
      <c r="X14" s="4">
        <v>49436.55</v>
      </c>
      <c r="Y14" s="4">
        <v>2238009.7200000002</v>
      </c>
      <c r="Z14" s="4">
        <v>2890933.41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32185219.77</v>
      </c>
      <c r="AJ14">
        <f t="shared" si="2"/>
        <v>0</v>
      </c>
      <c r="AK14" s="4">
        <v>12789275.24</v>
      </c>
      <c r="AL14">
        <f t="shared" si="2"/>
        <v>0</v>
      </c>
      <c r="AM14" s="4">
        <v>91689201.840000004</v>
      </c>
      <c r="AN14">
        <f t="shared" ref="AN14" si="11">SUMIF($P$6:$AG$6,AM$6,$P14:$AG14)-AM14</f>
        <v>0</v>
      </c>
      <c r="AO14" s="4">
        <v>136663696.84999999</v>
      </c>
    </row>
    <row r="15" spans="1:41" x14ac:dyDescent="0.3">
      <c r="A15" t="s">
        <v>26</v>
      </c>
      <c r="B15" t="s">
        <v>30</v>
      </c>
      <c r="C15">
        <v>110200</v>
      </c>
      <c r="D15" t="s">
        <v>28</v>
      </c>
      <c r="E15">
        <v>48486.19</v>
      </c>
      <c r="F15">
        <f>IFERROR(VLOOKUP($C15,'Aggregate Exp'!$G$7:$L$12,Check!F$3,FALSE),0)-E15</f>
        <v>0</v>
      </c>
      <c r="G15">
        <v>16219.93</v>
      </c>
      <c r="H15">
        <f>IFERROR(VLOOKUP($C15,'Aggregate Exp'!$G$7:$L$12,Check!H$3,FALSE),0)-G15</f>
        <v>0</v>
      </c>
      <c r="I15">
        <v>522188.52</v>
      </c>
      <c r="J15">
        <f>IFERROR(VLOOKUP($C15,'Aggregate Exp'!$G$7:$L$12,Check!J$3,FALSE),0)-I15</f>
        <v>0</v>
      </c>
      <c r="K15" s="4">
        <v>586894.64</v>
      </c>
      <c r="L15">
        <v>0</v>
      </c>
      <c r="M15">
        <v>0</v>
      </c>
      <c r="N15">
        <v>0</v>
      </c>
      <c r="O15" s="4">
        <v>0</v>
      </c>
      <c r="P15">
        <v>5747552.96</v>
      </c>
      <c r="Q15">
        <f>SUMIF($A$6:$N$6,P$6,$A15:$N15)*Q$3-P15</f>
        <v>2.6000002399086952E-3</v>
      </c>
      <c r="R15">
        <v>1748832.85</v>
      </c>
      <c r="S15">
        <f>SUMIF($A$6:$N$6,R$6,$A15:$N15)*S$3-R15</f>
        <v>2.5999997742474079E-3</v>
      </c>
      <c r="T15">
        <v>7425520.75</v>
      </c>
      <c r="U15">
        <f>SUMIF($A$6:$N$6,T$6,$A15:$N15)*U$3-T15</f>
        <v>4.4000009074807167E-3</v>
      </c>
      <c r="V15" s="4">
        <v>14921906.560000001</v>
      </c>
      <c r="W15">
        <v>0</v>
      </c>
      <c r="X15">
        <v>0</v>
      </c>
      <c r="Y15">
        <v>0</v>
      </c>
      <c r="Z15" s="4">
        <v>0</v>
      </c>
      <c r="AA15">
        <v>0</v>
      </c>
      <c r="AB15">
        <v>0</v>
      </c>
      <c r="AC15">
        <v>0</v>
      </c>
      <c r="AD15" s="4">
        <v>0</v>
      </c>
      <c r="AE15">
        <v>0</v>
      </c>
      <c r="AF15">
        <v>0</v>
      </c>
      <c r="AG15">
        <v>0</v>
      </c>
      <c r="AH15" s="4">
        <v>0</v>
      </c>
      <c r="AI15">
        <v>5747552.96</v>
      </c>
      <c r="AJ15">
        <f t="shared" si="2"/>
        <v>0</v>
      </c>
      <c r="AK15">
        <v>1748832.85</v>
      </c>
      <c r="AL15">
        <f t="shared" si="2"/>
        <v>0</v>
      </c>
      <c r="AM15">
        <v>7425520.75</v>
      </c>
      <c r="AN15">
        <f t="shared" ref="AN15" si="12">SUMIF($P$6:$AG$6,AM$6,$P15:$AG15)-AM15</f>
        <v>0</v>
      </c>
      <c r="AO15" s="4">
        <v>14921906.560000001</v>
      </c>
    </row>
    <row r="16" spans="1:41" x14ac:dyDescent="0.3">
      <c r="A16" t="s">
        <v>26</v>
      </c>
      <c r="B16" t="s">
        <v>30</v>
      </c>
      <c r="C16">
        <v>212300</v>
      </c>
      <c r="D16" t="s">
        <v>31</v>
      </c>
      <c r="E16">
        <v>0</v>
      </c>
      <c r="F16">
        <f>IFERROR(VLOOKUP($C16,'Aggregate Exp'!$G$7:$L$12,Check!F$3,FALSE),0)-E16</f>
        <v>0</v>
      </c>
      <c r="G16">
        <v>0</v>
      </c>
      <c r="H16">
        <f>IFERROR(VLOOKUP($C16,'Aggregate Exp'!$G$7:$L$12,Check!H$3,FALSE),0)-G16</f>
        <v>0</v>
      </c>
      <c r="I16">
        <v>356515.24</v>
      </c>
      <c r="J16">
        <f>IFERROR(VLOOKUP($C16,'Aggregate Exp'!$G$7:$L$12,Check!J$3,FALSE),0)-I16</f>
        <v>0</v>
      </c>
      <c r="K16" s="4">
        <v>356515.24</v>
      </c>
      <c r="L16">
        <v>0</v>
      </c>
      <c r="M16">
        <v>0</v>
      </c>
      <c r="N16">
        <v>0</v>
      </c>
      <c r="O16" s="4">
        <v>0</v>
      </c>
      <c r="P16">
        <v>0</v>
      </c>
      <c r="Q16">
        <f t="shared" si="0"/>
        <v>0</v>
      </c>
      <c r="R16">
        <v>0</v>
      </c>
      <c r="S16">
        <f t="shared" si="0"/>
        <v>0</v>
      </c>
      <c r="T16">
        <v>5069646.71</v>
      </c>
      <c r="U16">
        <f t="shared" ref="U16" si="13">SUMIF($A$6:$N$6,T$6,$A16:$N16)*U$3-T16</f>
        <v>2.79999990016222E-3</v>
      </c>
      <c r="V16" s="4">
        <v>5069646.71</v>
      </c>
      <c r="W16">
        <v>0</v>
      </c>
      <c r="X16">
        <v>0</v>
      </c>
      <c r="Y16">
        <v>0</v>
      </c>
      <c r="Z16" s="4">
        <v>0</v>
      </c>
      <c r="AA16">
        <v>0</v>
      </c>
      <c r="AB16">
        <v>0</v>
      </c>
      <c r="AC16">
        <v>0</v>
      </c>
      <c r="AD16" s="4">
        <v>0</v>
      </c>
      <c r="AE16">
        <v>0</v>
      </c>
      <c r="AF16">
        <v>0</v>
      </c>
      <c r="AG16">
        <v>0</v>
      </c>
      <c r="AH16" s="4">
        <v>0</v>
      </c>
      <c r="AI16">
        <v>0</v>
      </c>
      <c r="AJ16">
        <f t="shared" si="2"/>
        <v>0</v>
      </c>
      <c r="AK16">
        <v>0</v>
      </c>
      <c r="AL16">
        <f t="shared" si="2"/>
        <v>0</v>
      </c>
      <c r="AM16">
        <v>5069646.71</v>
      </c>
      <c r="AN16">
        <f t="shared" ref="AN16" si="14">SUMIF($P$6:$AG$6,AM$6,$P16:$AG16)-AM16</f>
        <v>0</v>
      </c>
      <c r="AO16" s="4">
        <v>5069646.71</v>
      </c>
    </row>
    <row r="17" spans="1:41" x14ac:dyDescent="0.3">
      <c r="A17" t="s">
        <v>26</v>
      </c>
      <c r="B17" t="s">
        <v>30</v>
      </c>
      <c r="C17">
        <v>212400</v>
      </c>
      <c r="D17" t="s">
        <v>32</v>
      </c>
      <c r="E17">
        <v>0</v>
      </c>
      <c r="F17">
        <f>IFERROR(VLOOKUP($C17,'Aggregate Exp'!$G$7:$L$12,Check!F$3,FALSE),0)-E17</f>
        <v>0</v>
      </c>
      <c r="G17">
        <v>0</v>
      </c>
      <c r="H17">
        <f>IFERROR(VLOOKUP($C17,'Aggregate Exp'!$G$7:$L$12,Check!H$3,FALSE),0)-G17</f>
        <v>0</v>
      </c>
      <c r="I17">
        <v>107043.23</v>
      </c>
      <c r="J17">
        <f>IFERROR(VLOOKUP($C17,'Aggregate Exp'!$G$7:$L$12,Check!J$3,FALSE),0)-I17</f>
        <v>0</v>
      </c>
      <c r="K17" s="4">
        <v>107043.23</v>
      </c>
      <c r="L17">
        <v>0</v>
      </c>
      <c r="M17">
        <v>0</v>
      </c>
      <c r="N17">
        <v>0</v>
      </c>
      <c r="O17" s="4">
        <v>0</v>
      </c>
      <c r="P17">
        <v>0</v>
      </c>
      <c r="Q17">
        <f t="shared" si="0"/>
        <v>0</v>
      </c>
      <c r="R17">
        <v>0</v>
      </c>
      <c r="S17">
        <f t="shared" si="0"/>
        <v>0</v>
      </c>
      <c r="T17">
        <v>1522154.73</v>
      </c>
      <c r="U17">
        <f t="shared" ref="U17" si="15">SUMIF($A$6:$N$6,T$6,$A17:$N17)*U$3-T17</f>
        <v>6.0000014491379261E-4</v>
      </c>
      <c r="V17" s="4">
        <v>1522154.73</v>
      </c>
      <c r="W17">
        <v>0</v>
      </c>
      <c r="X17">
        <v>0</v>
      </c>
      <c r="Y17">
        <v>0</v>
      </c>
      <c r="Z17" s="4">
        <v>0</v>
      </c>
      <c r="AA17">
        <v>0</v>
      </c>
      <c r="AB17">
        <v>0</v>
      </c>
      <c r="AC17">
        <v>0</v>
      </c>
      <c r="AD17" s="4">
        <v>0</v>
      </c>
      <c r="AE17">
        <v>0</v>
      </c>
      <c r="AF17">
        <v>0</v>
      </c>
      <c r="AG17">
        <v>0</v>
      </c>
      <c r="AH17" s="4">
        <v>0</v>
      </c>
      <c r="AI17">
        <v>0</v>
      </c>
      <c r="AJ17">
        <f t="shared" si="2"/>
        <v>0</v>
      </c>
      <c r="AK17">
        <v>0</v>
      </c>
      <c r="AL17">
        <f t="shared" si="2"/>
        <v>0</v>
      </c>
      <c r="AM17">
        <v>1522154.73</v>
      </c>
      <c r="AN17">
        <f t="shared" ref="AN17" si="16">SUMIF($P$6:$AG$6,AM$6,$P17:$AG17)-AM17</f>
        <v>0</v>
      </c>
      <c r="AO17" s="4">
        <v>1522154.73</v>
      </c>
    </row>
    <row r="18" spans="1:41" x14ac:dyDescent="0.3">
      <c r="B18" s="4" t="s">
        <v>30</v>
      </c>
      <c r="C18" s="4"/>
      <c r="D18" s="4"/>
      <c r="E18" s="4">
        <v>48486.19</v>
      </c>
      <c r="F18" s="4"/>
      <c r="G18" s="4">
        <v>16219.93</v>
      </c>
      <c r="H18" s="4"/>
      <c r="I18" s="4">
        <v>985746.99</v>
      </c>
      <c r="J18" s="4"/>
      <c r="K18" s="4">
        <v>1050453.1100000001</v>
      </c>
      <c r="L18" s="4">
        <v>0</v>
      </c>
      <c r="M18" s="4">
        <v>0</v>
      </c>
      <c r="N18" s="4">
        <v>0</v>
      </c>
      <c r="O18" s="4">
        <v>0</v>
      </c>
      <c r="P18" s="4">
        <v>5747552.96</v>
      </c>
      <c r="Q18">
        <f t="shared" si="0"/>
        <v>2.6000002399086952E-3</v>
      </c>
      <c r="R18" s="4">
        <v>1748832.85</v>
      </c>
      <c r="S18">
        <f t="shared" si="0"/>
        <v>2.5999997742474079E-3</v>
      </c>
      <c r="T18" s="4">
        <v>14017322.190000001</v>
      </c>
      <c r="U18">
        <f t="shared" ref="U18" si="17">SUMIF($A$6:$N$6,T$6,$A18:$N18)*U$3-T18</f>
        <v>7.799999788403511E-3</v>
      </c>
      <c r="V18" s="4">
        <v>21513708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5747552.96</v>
      </c>
      <c r="AJ18">
        <f t="shared" si="2"/>
        <v>0</v>
      </c>
      <c r="AK18" s="4">
        <v>1748832.85</v>
      </c>
      <c r="AL18">
        <f t="shared" si="2"/>
        <v>0</v>
      </c>
      <c r="AM18" s="4">
        <v>14017322.190000001</v>
      </c>
      <c r="AN18">
        <f t="shared" ref="AN18" si="18">SUMIF($P$6:$AG$6,AM$6,$P18:$AG18)-AM18</f>
        <v>0</v>
      </c>
      <c r="AO18" s="4">
        <v>21513708</v>
      </c>
    </row>
    <row r="19" spans="1:41" x14ac:dyDescent="0.3">
      <c r="A19" t="s">
        <v>26</v>
      </c>
      <c r="B19" t="s">
        <v>33</v>
      </c>
      <c r="C19">
        <v>110200</v>
      </c>
      <c r="D19" t="s">
        <v>28</v>
      </c>
      <c r="E19">
        <v>23503.96</v>
      </c>
      <c r="F19">
        <f>IFERROR(VLOOKUP($C19,'Aggregate Exp'!$M$7:$R$12,Check!F$3,FALSE),0)-E19</f>
        <v>0</v>
      </c>
      <c r="G19">
        <v>0</v>
      </c>
      <c r="H19">
        <f>IFERROR(VLOOKUP($C19,'Aggregate Exp'!$M$7:$R$12,Check!H$3,FALSE),0)-G19</f>
        <v>0</v>
      </c>
      <c r="I19">
        <v>943849.52</v>
      </c>
      <c r="J19">
        <f>IFERROR(VLOOKUP($C19,'Aggregate Exp'!$M$7:$R$12,Check!J$3,FALSE),0)-I19</f>
        <v>0</v>
      </c>
      <c r="K19" s="4">
        <v>967353.48</v>
      </c>
      <c r="L19">
        <v>0</v>
      </c>
      <c r="M19">
        <v>0</v>
      </c>
      <c r="N19">
        <v>0</v>
      </c>
      <c r="O19" s="4">
        <v>0</v>
      </c>
      <c r="P19">
        <v>2786159.42</v>
      </c>
      <c r="Q19">
        <f t="shared" si="0"/>
        <v>-1.6000000759959221E-3</v>
      </c>
      <c r="R19">
        <v>0</v>
      </c>
      <c r="S19">
        <f t="shared" si="0"/>
        <v>0</v>
      </c>
      <c r="T19">
        <v>13421540.17</v>
      </c>
      <c r="U19">
        <f t="shared" ref="U19" si="19">SUMIF($A$6:$N$6,T$6,$A19:$N19)*U$3-T19</f>
        <v>4.4000018388032913E-3</v>
      </c>
      <c r="V19" s="4">
        <v>16207699.59</v>
      </c>
      <c r="W19">
        <v>0</v>
      </c>
      <c r="X19">
        <v>0</v>
      </c>
      <c r="Y19">
        <v>0</v>
      </c>
      <c r="Z19" s="4">
        <v>0</v>
      </c>
      <c r="AA19">
        <v>0</v>
      </c>
      <c r="AB19">
        <v>0</v>
      </c>
      <c r="AC19">
        <v>0</v>
      </c>
      <c r="AD19" s="4">
        <v>0</v>
      </c>
      <c r="AE19">
        <v>0</v>
      </c>
      <c r="AF19">
        <v>0</v>
      </c>
      <c r="AG19">
        <v>0</v>
      </c>
      <c r="AH19" s="4">
        <v>0</v>
      </c>
      <c r="AI19">
        <v>2786159.42</v>
      </c>
      <c r="AJ19">
        <f t="shared" si="2"/>
        <v>0</v>
      </c>
      <c r="AK19">
        <v>0</v>
      </c>
      <c r="AL19">
        <f t="shared" si="2"/>
        <v>0</v>
      </c>
      <c r="AM19">
        <v>13421540.17</v>
      </c>
      <c r="AN19">
        <f t="shared" ref="AN19" si="20">SUMIF($P$6:$AG$6,AM$6,$P19:$AG19)-AM19</f>
        <v>0</v>
      </c>
      <c r="AO19" s="4">
        <v>16207699.59</v>
      </c>
    </row>
    <row r="20" spans="1:41" x14ac:dyDescent="0.3">
      <c r="A20" t="s">
        <v>26</v>
      </c>
      <c r="B20" t="s">
        <v>33</v>
      </c>
      <c r="C20">
        <v>290100</v>
      </c>
      <c r="D20" t="s">
        <v>29</v>
      </c>
      <c r="E20">
        <v>5091</v>
      </c>
      <c r="F20">
        <f>IFERROR(VLOOKUP($C20,'Aggregate Exp'!$M$7:$R$12,Check!F$3,FALSE),0)-E20</f>
        <v>0</v>
      </c>
      <c r="G20">
        <v>458</v>
      </c>
      <c r="H20">
        <f>IFERROR(VLOOKUP($C20,'Aggregate Exp'!$M$7:$R$12,Check!H$3,FALSE),0)-G20</f>
        <v>0.50999999999999091</v>
      </c>
      <c r="I20">
        <v>157384</v>
      </c>
      <c r="J20">
        <f>IFERROR(VLOOKUP($C20,'Aggregate Exp'!$M$7:$R$12,Check!J$3,FALSE),0)-I20</f>
        <v>0.64999999999417923</v>
      </c>
      <c r="K20" s="4">
        <v>162933</v>
      </c>
      <c r="L20">
        <v>0</v>
      </c>
      <c r="M20">
        <v>0</v>
      </c>
      <c r="N20">
        <v>0</v>
      </c>
      <c r="O20" s="4">
        <v>0</v>
      </c>
      <c r="P20">
        <v>603487.14</v>
      </c>
      <c r="Q20">
        <f t="shared" si="0"/>
        <v>0</v>
      </c>
      <c r="R20">
        <v>49436.55</v>
      </c>
      <c r="S20">
        <f t="shared" si="0"/>
        <v>-54.990000000005239</v>
      </c>
      <c r="T20">
        <v>2238009.7200000002</v>
      </c>
      <c r="U20">
        <f t="shared" ref="U20" si="21">SUMIF($A$6:$N$6,T$6,$A20:$N20)*U$3-T20</f>
        <v>-9.2400000002235174</v>
      </c>
      <c r="V20" s="4">
        <v>2890933.41</v>
      </c>
      <c r="W20">
        <v>-603487.14</v>
      </c>
      <c r="X20">
        <v>-49436.55</v>
      </c>
      <c r="Y20">
        <v>-2238009.7200000002</v>
      </c>
      <c r="Z20" s="4">
        <v>-2890933.41</v>
      </c>
      <c r="AA20">
        <v>0</v>
      </c>
      <c r="AB20">
        <v>0</v>
      </c>
      <c r="AC20">
        <v>0</v>
      </c>
      <c r="AD20" s="4">
        <v>0</v>
      </c>
      <c r="AE20">
        <v>0</v>
      </c>
      <c r="AF20">
        <v>0</v>
      </c>
      <c r="AG20">
        <v>0</v>
      </c>
      <c r="AH20" s="4">
        <v>0</v>
      </c>
      <c r="AI20">
        <v>0</v>
      </c>
      <c r="AJ20">
        <f t="shared" si="2"/>
        <v>0</v>
      </c>
      <c r="AK20">
        <v>0</v>
      </c>
      <c r="AL20">
        <f t="shared" si="2"/>
        <v>0</v>
      </c>
      <c r="AM20">
        <v>0</v>
      </c>
      <c r="AN20">
        <f t="shared" ref="AN20" si="22">SUMIF($P$6:$AG$6,AM$6,$P20:$AG20)-AM20</f>
        <v>0</v>
      </c>
      <c r="AO20" s="4">
        <v>0</v>
      </c>
    </row>
    <row r="21" spans="1:41" x14ac:dyDescent="0.3">
      <c r="B21" s="4" t="s">
        <v>33</v>
      </c>
      <c r="C21" s="4"/>
      <c r="D21" s="4"/>
      <c r="E21" s="4">
        <v>28594.959999999999</v>
      </c>
      <c r="F21" s="4"/>
      <c r="G21" s="4">
        <v>458</v>
      </c>
      <c r="H21" s="4"/>
      <c r="I21" s="4">
        <v>1101233.52</v>
      </c>
      <c r="J21" s="4"/>
      <c r="K21" s="4">
        <v>1130286.48</v>
      </c>
      <c r="L21" s="4">
        <v>0</v>
      </c>
      <c r="M21" s="4">
        <v>0</v>
      </c>
      <c r="N21" s="4">
        <v>0</v>
      </c>
      <c r="O21" s="4">
        <v>0</v>
      </c>
      <c r="P21" s="4">
        <v>3389646.56</v>
      </c>
      <c r="Q21">
        <f t="shared" si="0"/>
        <v>-1.6000000759959221E-3</v>
      </c>
      <c r="R21" s="4">
        <v>49436.55</v>
      </c>
      <c r="S21">
        <f t="shared" si="0"/>
        <v>-54.990000000005239</v>
      </c>
      <c r="T21" s="4">
        <v>15659549.890000001</v>
      </c>
      <c r="U21">
        <f t="shared" ref="U21" si="23">SUMIF($A$6:$N$6,T$6,$A21:$N21)*U$3-T21</f>
        <v>-9.2356000002473593</v>
      </c>
      <c r="V21" s="4">
        <v>19098633</v>
      </c>
      <c r="W21" s="4">
        <v>-603487.14</v>
      </c>
      <c r="X21" s="4">
        <v>-49436.55</v>
      </c>
      <c r="Y21" s="4">
        <v>-2238009.7200000002</v>
      </c>
      <c r="Z21" s="4">
        <v>-2890933.41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2786159.42</v>
      </c>
      <c r="AJ21">
        <f t="shared" si="2"/>
        <v>0</v>
      </c>
      <c r="AK21" s="4">
        <v>0</v>
      </c>
      <c r="AL21">
        <f t="shared" si="2"/>
        <v>0</v>
      </c>
      <c r="AM21" s="4">
        <v>13421540.17</v>
      </c>
      <c r="AN21">
        <f t="shared" ref="AN21" si="24">SUMIF($P$6:$AG$6,AM$6,$P21:$AG21)-AM21</f>
        <v>0</v>
      </c>
      <c r="AO21" s="4">
        <v>16207699.59</v>
      </c>
    </row>
    <row r="22" spans="1:41" x14ac:dyDescent="0.3">
      <c r="A22" t="s">
        <v>22</v>
      </c>
      <c r="B22" t="s">
        <v>34</v>
      </c>
      <c r="C22">
        <v>331001</v>
      </c>
      <c r="D22" t="s">
        <v>35</v>
      </c>
      <c r="E22">
        <v>0</v>
      </c>
      <c r="F22" s="1">
        <f>IFERROR(VLOOKUP($C22,'Real Time TB'!$A$6:$F$22,Check!F$2,FALSE),0)-E22</f>
        <v>0</v>
      </c>
      <c r="G22">
        <v>0</v>
      </c>
      <c r="H22" s="1">
        <f>IFERROR(VLOOKUP($C22,'Real Time TB'!$A$6:$F$22,Check!H$2,FALSE),0)-G22</f>
        <v>0</v>
      </c>
      <c r="I22">
        <v>-14548.69</v>
      </c>
      <c r="J22" s="1">
        <f>IFERROR(VLOOKUP($C22,'Real Time TB'!$A$6:$F$22,Check!J$2,FALSE),0)-I22</f>
        <v>0</v>
      </c>
      <c r="K22" s="4">
        <v>-14548.69</v>
      </c>
      <c r="L22">
        <v>0</v>
      </c>
      <c r="M22">
        <v>0</v>
      </c>
      <c r="N22">
        <v>0</v>
      </c>
      <c r="O22" s="4">
        <v>0</v>
      </c>
      <c r="P22">
        <v>0</v>
      </c>
      <c r="Q22">
        <f t="shared" si="0"/>
        <v>0</v>
      </c>
      <c r="R22">
        <v>0</v>
      </c>
      <c r="S22">
        <f t="shared" si="0"/>
        <v>0</v>
      </c>
      <c r="T22">
        <v>-206882.37</v>
      </c>
      <c r="U22">
        <f t="shared" ref="U22" si="25">SUMIF($A$6:$N$6,T$6,$A22:$N22)*U$3-T22</f>
        <v>-1.8000000272877514E-3</v>
      </c>
      <c r="V22" s="4">
        <v>-206882.37</v>
      </c>
      <c r="W22">
        <v>0</v>
      </c>
      <c r="X22">
        <v>0</v>
      </c>
      <c r="Y22">
        <v>0</v>
      </c>
      <c r="Z22" s="4">
        <v>0</v>
      </c>
      <c r="AA22">
        <v>0</v>
      </c>
      <c r="AB22">
        <v>0</v>
      </c>
      <c r="AC22">
        <v>0</v>
      </c>
      <c r="AD22" s="4">
        <v>0</v>
      </c>
      <c r="AE22">
        <v>0</v>
      </c>
      <c r="AF22">
        <v>0</v>
      </c>
      <c r="AG22">
        <v>0</v>
      </c>
      <c r="AH22" s="4">
        <v>0</v>
      </c>
      <c r="AI22">
        <v>0</v>
      </c>
      <c r="AJ22">
        <f t="shared" si="2"/>
        <v>0</v>
      </c>
      <c r="AK22">
        <v>0</v>
      </c>
      <c r="AL22">
        <f t="shared" si="2"/>
        <v>0</v>
      </c>
      <c r="AM22">
        <v>-206882.37</v>
      </c>
      <c r="AN22">
        <f t="shared" ref="AN22" si="26">SUMIF($P$6:$AG$6,AM$6,$P22:$AG22)-AM22</f>
        <v>0</v>
      </c>
      <c r="AO22" s="4">
        <v>-206882.37</v>
      </c>
    </row>
    <row r="23" spans="1:41" x14ac:dyDescent="0.3">
      <c r="A23" t="s">
        <v>22</v>
      </c>
      <c r="B23" t="s">
        <v>34</v>
      </c>
      <c r="C23">
        <v>334000</v>
      </c>
      <c r="D23" t="s">
        <v>36</v>
      </c>
      <c r="E23">
        <v>8095.75</v>
      </c>
      <c r="F23" s="1">
        <f>IFERROR(VLOOKUP($C23,'Real Time TB'!$A$6:$F$22,Check!F$2,FALSE),0)-E23</f>
        <v>0</v>
      </c>
      <c r="G23">
        <v>0</v>
      </c>
      <c r="H23" s="1">
        <f>IFERROR(VLOOKUP($C23,'Real Time TB'!$A$6:$F$22,Check!H$2,FALSE),0)-G23</f>
        <v>0</v>
      </c>
      <c r="I23">
        <v>-120129.67</v>
      </c>
      <c r="J23" s="1">
        <f>IFERROR(VLOOKUP($C23,'Real Time TB'!$A$6:$F$22,Check!J$2,FALSE),0)-I23</f>
        <v>0</v>
      </c>
      <c r="K23" s="4">
        <v>-112033.92</v>
      </c>
      <c r="L23">
        <v>0</v>
      </c>
      <c r="M23">
        <v>0</v>
      </c>
      <c r="N23">
        <v>0</v>
      </c>
      <c r="O23" s="4">
        <v>0</v>
      </c>
      <c r="P23">
        <v>959670.21</v>
      </c>
      <c r="Q23">
        <f t="shared" si="0"/>
        <v>-4.999999888241291E-3</v>
      </c>
      <c r="R23">
        <v>0</v>
      </c>
      <c r="S23">
        <f t="shared" si="0"/>
        <v>0</v>
      </c>
      <c r="T23">
        <v>-1708243.91</v>
      </c>
      <c r="U23">
        <f t="shared" ref="U23" si="27">SUMIF($A$6:$N$6,T$6,$A23:$N23)*U$3-T23</f>
        <v>2.5999997742474079E-3</v>
      </c>
      <c r="V23" s="4">
        <v>-748573.7</v>
      </c>
      <c r="W23">
        <v>0</v>
      </c>
      <c r="X23">
        <v>0</v>
      </c>
      <c r="Y23">
        <v>0</v>
      </c>
      <c r="Z23" s="4">
        <v>0</v>
      </c>
      <c r="AA23">
        <v>0</v>
      </c>
      <c r="AB23">
        <v>0</v>
      </c>
      <c r="AC23">
        <v>0</v>
      </c>
      <c r="AD23" s="4">
        <v>0</v>
      </c>
      <c r="AE23">
        <v>0</v>
      </c>
      <c r="AF23">
        <v>0</v>
      </c>
      <c r="AG23">
        <v>0</v>
      </c>
      <c r="AH23" s="4">
        <v>0</v>
      </c>
      <c r="AI23">
        <v>959670.21</v>
      </c>
      <c r="AJ23">
        <f t="shared" si="2"/>
        <v>0</v>
      </c>
      <c r="AK23">
        <v>0</v>
      </c>
      <c r="AL23">
        <f t="shared" si="2"/>
        <v>0</v>
      </c>
      <c r="AM23">
        <v>-1708243.91</v>
      </c>
      <c r="AN23">
        <f t="shared" ref="AN23" si="28">SUMIF($P$6:$AG$6,AM$6,$P23:$AG23)-AM23</f>
        <v>0</v>
      </c>
      <c r="AO23" s="4">
        <v>-748573.7</v>
      </c>
    </row>
    <row r="24" spans="1:41" x14ac:dyDescent="0.3">
      <c r="B24" s="4" t="s">
        <v>34</v>
      </c>
      <c r="C24" s="4"/>
      <c r="D24" s="4"/>
      <c r="E24" s="4">
        <v>8095.75</v>
      </c>
      <c r="F24" s="4"/>
      <c r="G24" s="4">
        <v>0</v>
      </c>
      <c r="H24" s="4"/>
      <c r="I24" s="4">
        <v>-134678.35999999999</v>
      </c>
      <c r="J24" s="4"/>
      <c r="K24" s="4">
        <v>-126582.60999999999</v>
      </c>
      <c r="L24" s="4">
        <v>0</v>
      </c>
      <c r="M24" s="4">
        <v>0</v>
      </c>
      <c r="N24" s="4">
        <v>0</v>
      </c>
      <c r="O24" s="4">
        <v>0</v>
      </c>
      <c r="P24" s="4">
        <v>959670.21</v>
      </c>
      <c r="Q24">
        <f t="shared" si="0"/>
        <v>-4.999999888241291E-3</v>
      </c>
      <c r="R24" s="4">
        <v>0</v>
      </c>
      <c r="S24">
        <f t="shared" si="0"/>
        <v>0</v>
      </c>
      <c r="T24" s="4">
        <v>-1915126.2799999998</v>
      </c>
      <c r="U24">
        <f t="shared" ref="U24" si="29">SUMIF($A$6:$N$6,T$6,$A24:$N24)*U$3-T24</f>
        <v>7.9999980516731739E-4</v>
      </c>
      <c r="V24" s="4">
        <v>-955456.06999999983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959670.21</v>
      </c>
      <c r="AJ24">
        <f t="shared" si="2"/>
        <v>0</v>
      </c>
      <c r="AK24" s="4">
        <v>0</v>
      </c>
      <c r="AL24">
        <f t="shared" si="2"/>
        <v>0</v>
      </c>
      <c r="AM24" s="4">
        <v>-1915126.2799999998</v>
      </c>
      <c r="AN24">
        <f t="shared" ref="AN24" si="30">SUMIF($P$6:$AG$6,AM$6,$P24:$AG24)-AM24</f>
        <v>0</v>
      </c>
      <c r="AO24" s="4">
        <v>-955456.06999999983</v>
      </c>
    </row>
    <row r="25" spans="1:41" x14ac:dyDescent="0.3">
      <c r="A25" t="s">
        <v>26</v>
      </c>
      <c r="B25" t="s">
        <v>37</v>
      </c>
      <c r="C25">
        <v>290900</v>
      </c>
      <c r="D25" t="s">
        <v>38</v>
      </c>
      <c r="E25">
        <v>0</v>
      </c>
      <c r="F25" s="1">
        <f>IFERROR(VLOOKUP($C25,'Real Time TB'!$A$6:$F$22,Check!F$2,FALSE),0)-E25</f>
        <v>0</v>
      </c>
      <c r="G25">
        <v>0</v>
      </c>
      <c r="H25" s="1">
        <f>IFERROR(VLOOKUP($C25,'Real Time TB'!$A$6:$F$22,Check!H$2,FALSE),0)-G25</f>
        <v>0</v>
      </c>
      <c r="I25">
        <v>0</v>
      </c>
      <c r="J25" s="1">
        <f>IFERROR(VLOOKUP($C25,'Real Time TB'!$A$6:$F$22,Check!J$2,FALSE),0)-I25</f>
        <v>0</v>
      </c>
      <c r="K25" s="4">
        <v>0</v>
      </c>
      <c r="L25">
        <v>0</v>
      </c>
      <c r="M25">
        <v>0</v>
      </c>
      <c r="N25">
        <v>-677977.23</v>
      </c>
      <c r="O25" s="4">
        <v>-677977.23</v>
      </c>
      <c r="P25">
        <v>0</v>
      </c>
      <c r="Q25">
        <f t="shared" si="0"/>
        <v>0</v>
      </c>
      <c r="R25">
        <v>0</v>
      </c>
      <c r="S25">
        <f t="shared" si="0"/>
        <v>0</v>
      </c>
      <c r="T25">
        <v>-9640836.2100000009</v>
      </c>
      <c r="U25">
        <f t="shared" ref="U25" si="31">SUMIF($A$6:$N$6,T$6,$A25:$N25)*U$3-T25</f>
        <v>-5.9999898076057434E-4</v>
      </c>
      <c r="V25" s="4">
        <v>-9640836.2100000009</v>
      </c>
      <c r="W25">
        <v>0</v>
      </c>
      <c r="X25">
        <v>0</v>
      </c>
      <c r="Y25">
        <v>0</v>
      </c>
      <c r="Z25" s="4">
        <v>0</v>
      </c>
      <c r="AA25">
        <v>0</v>
      </c>
      <c r="AB25">
        <v>0</v>
      </c>
      <c r="AC25">
        <v>0</v>
      </c>
      <c r="AD25" s="4">
        <v>0</v>
      </c>
      <c r="AE25">
        <v>0</v>
      </c>
      <c r="AF25">
        <v>0</v>
      </c>
      <c r="AG25">
        <v>0</v>
      </c>
      <c r="AH25" s="4">
        <v>0</v>
      </c>
      <c r="AI25">
        <v>0</v>
      </c>
      <c r="AJ25">
        <f t="shared" si="2"/>
        <v>0</v>
      </c>
      <c r="AK25">
        <v>0</v>
      </c>
      <c r="AL25">
        <f t="shared" si="2"/>
        <v>0</v>
      </c>
      <c r="AM25">
        <v>-9640836.2100000009</v>
      </c>
      <c r="AN25">
        <f t="shared" ref="AN25" si="32">SUMIF($P$6:$AG$6,AM$6,$P25:$AG25)-AM25</f>
        <v>0</v>
      </c>
      <c r="AO25" s="4">
        <v>-9640836.2100000009</v>
      </c>
    </row>
    <row r="26" spans="1:41" x14ac:dyDescent="0.3">
      <c r="B26" s="4" t="s">
        <v>37</v>
      </c>
      <c r="C26" s="4"/>
      <c r="D26" s="4"/>
      <c r="E26" s="4">
        <v>0</v>
      </c>
      <c r="F26" s="4"/>
      <c r="G26" s="4">
        <v>0</v>
      </c>
      <c r="H26" s="4"/>
      <c r="I26" s="4">
        <v>0</v>
      </c>
      <c r="J26" s="4"/>
      <c r="K26" s="4">
        <v>0</v>
      </c>
      <c r="L26" s="4">
        <v>0</v>
      </c>
      <c r="M26" s="4">
        <v>0</v>
      </c>
      <c r="N26" s="4">
        <v>-677977.23</v>
      </c>
      <c r="O26" s="4">
        <v>-677977.23</v>
      </c>
      <c r="P26" s="4">
        <v>0</v>
      </c>
      <c r="Q26">
        <f t="shared" si="0"/>
        <v>0</v>
      </c>
      <c r="R26" s="4">
        <v>0</v>
      </c>
      <c r="S26">
        <f t="shared" si="0"/>
        <v>0</v>
      </c>
      <c r="T26" s="4">
        <v>-9640836.2100000009</v>
      </c>
      <c r="U26">
        <f t="shared" ref="U26" si="33">SUMIF($A$6:$N$6,T$6,$A26:$N26)*U$3-T26</f>
        <v>-5.9999898076057434E-4</v>
      </c>
      <c r="V26" s="4">
        <v>-9640836.2100000009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>
        <f t="shared" si="2"/>
        <v>0</v>
      </c>
      <c r="AK26" s="4">
        <v>0</v>
      </c>
      <c r="AL26">
        <f t="shared" si="2"/>
        <v>0</v>
      </c>
      <c r="AM26" s="4">
        <v>-9640836.2100000009</v>
      </c>
      <c r="AN26">
        <f t="shared" ref="AN26" si="34">SUMIF($P$6:$AG$6,AM$6,$P26:$AG26)-AM26</f>
        <v>0</v>
      </c>
      <c r="AO26" s="4">
        <v>-9640836.2100000009</v>
      </c>
    </row>
    <row r="27" spans="1:41" ht="14.25" customHeight="1" x14ac:dyDescent="0.3">
      <c r="A27" t="s">
        <v>26</v>
      </c>
      <c r="B27" t="s">
        <v>39</v>
      </c>
      <c r="C27">
        <v>290410</v>
      </c>
      <c r="D27" s="3" t="s">
        <v>40</v>
      </c>
      <c r="E27">
        <v>0</v>
      </c>
      <c r="F27" s="1">
        <f>IFERROR(VLOOKUP($C27,'Real Time TB'!$A$6:$F$22,Check!F$2,FALSE),0)-E27</f>
        <v>0</v>
      </c>
      <c r="G27">
        <v>0</v>
      </c>
      <c r="H27" s="1">
        <f>IFERROR(VLOOKUP($C27,'Real Time TB'!$A$6:$F$22,Check!H$2,FALSE),0)-G27</f>
        <v>0</v>
      </c>
      <c r="I27">
        <v>87273.64</v>
      </c>
      <c r="J27" s="1">
        <f>IFERROR(VLOOKUP($C27,'Real Time TB'!$A$6:$F$22,Check!J$2,FALSE),0)-I27</f>
        <v>0</v>
      </c>
      <c r="K27" s="4">
        <v>87273.64</v>
      </c>
      <c r="L27">
        <v>0</v>
      </c>
      <c r="M27">
        <v>0</v>
      </c>
      <c r="N27">
        <v>0</v>
      </c>
      <c r="O27" s="4">
        <v>0</v>
      </c>
      <c r="P27">
        <v>0</v>
      </c>
      <c r="Q27">
        <f t="shared" si="0"/>
        <v>0</v>
      </c>
      <c r="R27">
        <v>0</v>
      </c>
      <c r="S27">
        <f t="shared" si="0"/>
        <v>0</v>
      </c>
      <c r="T27">
        <v>1241031.1599999999</v>
      </c>
      <c r="U27">
        <f t="shared" ref="U27" si="35">SUMIF($A$6:$N$6,T$6,$A27:$N27)*U$3-T27</f>
        <v>8.0000003799796104E-4</v>
      </c>
      <c r="V27" s="4">
        <v>1241031.1599999999</v>
      </c>
      <c r="W27">
        <v>0</v>
      </c>
      <c r="X27">
        <v>0</v>
      </c>
      <c r="Y27">
        <v>0</v>
      </c>
      <c r="Z27" s="4">
        <v>0</v>
      </c>
      <c r="AA27">
        <v>0</v>
      </c>
      <c r="AB27">
        <v>0</v>
      </c>
      <c r="AC27">
        <v>-1241031.1599999999</v>
      </c>
      <c r="AD27" s="4">
        <v>-1241031.1599999999</v>
      </c>
      <c r="AE27">
        <v>0</v>
      </c>
      <c r="AF27">
        <v>0</v>
      </c>
      <c r="AG27">
        <v>0</v>
      </c>
      <c r="AH27" s="4">
        <v>0</v>
      </c>
      <c r="AI27">
        <v>0</v>
      </c>
      <c r="AJ27">
        <f t="shared" si="2"/>
        <v>0</v>
      </c>
      <c r="AK27">
        <v>0</v>
      </c>
      <c r="AL27">
        <f t="shared" si="2"/>
        <v>0</v>
      </c>
      <c r="AM27">
        <v>0</v>
      </c>
      <c r="AN27">
        <f t="shared" ref="AN27" si="36">SUMIF($P$6:$AG$6,AM$6,$P27:$AG27)-AM27</f>
        <v>0</v>
      </c>
      <c r="AO27" s="4">
        <v>0</v>
      </c>
    </row>
    <row r="28" spans="1:41" x14ac:dyDescent="0.3">
      <c r="B28" s="4" t="s">
        <v>39</v>
      </c>
      <c r="C28" s="4"/>
      <c r="D28" s="4"/>
      <c r="E28" s="4">
        <v>0</v>
      </c>
      <c r="F28" s="4"/>
      <c r="G28" s="4">
        <v>0</v>
      </c>
      <c r="H28" s="4"/>
      <c r="I28" s="4">
        <v>87273.64</v>
      </c>
      <c r="J28" s="4"/>
      <c r="K28" s="4">
        <v>87273.64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>
        <f t="shared" si="0"/>
        <v>0</v>
      </c>
      <c r="R28" s="4">
        <v>0</v>
      </c>
      <c r="S28">
        <f t="shared" si="0"/>
        <v>0</v>
      </c>
      <c r="T28" s="4">
        <v>1241031.1599999999</v>
      </c>
      <c r="U28">
        <f t="shared" ref="U28" si="37">SUMIF($A$6:$N$6,T$6,$A28:$N28)*U$3-T28</f>
        <v>8.0000003799796104E-4</v>
      </c>
      <c r="V28" s="4">
        <v>1241031.1599999999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-1241031.1599999999</v>
      </c>
      <c r="AD28" s="4">
        <v>-1241031.1599999999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>
        <f t="shared" si="2"/>
        <v>0</v>
      </c>
      <c r="AK28" s="4">
        <v>0</v>
      </c>
      <c r="AL28">
        <f t="shared" si="2"/>
        <v>0</v>
      </c>
      <c r="AM28" s="4">
        <v>0</v>
      </c>
      <c r="AN28">
        <f t="shared" ref="AN28" si="38">SUMIF($P$6:$AG$6,AM$6,$P28:$AG28)-AM28</f>
        <v>0</v>
      </c>
      <c r="AO28" s="4">
        <v>0</v>
      </c>
    </row>
    <row r="29" spans="1:41" x14ac:dyDescent="0.3">
      <c r="A29" t="s">
        <v>26</v>
      </c>
      <c r="B29" t="s">
        <v>41</v>
      </c>
      <c r="C29">
        <v>290510</v>
      </c>
      <c r="D29" t="s">
        <v>42</v>
      </c>
      <c r="E29">
        <v>0</v>
      </c>
      <c r="F29" s="1">
        <f>IFERROR(VLOOKUP($C29,'Real Time TB'!$A$6:$F$22,Check!F$2,FALSE),0)-E29</f>
        <v>0</v>
      </c>
      <c r="G29">
        <v>0</v>
      </c>
      <c r="H29" s="1">
        <f>IFERROR(VLOOKUP($C29,'Real Time TB'!$A$6:$F$22,Check!H$2,FALSE),0)-G29</f>
        <v>0</v>
      </c>
      <c r="I29">
        <v>0</v>
      </c>
      <c r="J29" s="1">
        <f>IFERROR(VLOOKUP($C29,'Real Time TB'!$A$6:$F$22,Check!J$2,FALSE),0)-I29</f>
        <v>0</v>
      </c>
      <c r="K29" s="4">
        <v>0</v>
      </c>
      <c r="L29">
        <v>0</v>
      </c>
      <c r="M29">
        <v>0</v>
      </c>
      <c r="N29">
        <v>0</v>
      </c>
      <c r="O29" s="4">
        <v>0</v>
      </c>
      <c r="P29">
        <v>0</v>
      </c>
      <c r="Q29">
        <f t="shared" si="0"/>
        <v>0</v>
      </c>
      <c r="R29">
        <v>0</v>
      </c>
      <c r="S29">
        <f t="shared" si="0"/>
        <v>0</v>
      </c>
      <c r="T29">
        <v>0</v>
      </c>
      <c r="U29">
        <f t="shared" ref="U29" si="39">SUMIF($A$6:$N$6,T$6,$A29:$N29)*U$3-T29</f>
        <v>0</v>
      </c>
      <c r="V29" s="4">
        <v>0</v>
      </c>
      <c r="W29">
        <v>0</v>
      </c>
      <c r="X29">
        <v>0</v>
      </c>
      <c r="Y29">
        <v>0</v>
      </c>
      <c r="Z29" s="4">
        <v>0</v>
      </c>
      <c r="AA29">
        <v>0</v>
      </c>
      <c r="AB29">
        <v>0</v>
      </c>
      <c r="AC29">
        <v>0</v>
      </c>
      <c r="AD29" s="4">
        <v>0</v>
      </c>
      <c r="AE29">
        <v>0</v>
      </c>
      <c r="AF29">
        <v>0</v>
      </c>
      <c r="AG29">
        <v>0</v>
      </c>
      <c r="AH29" s="4">
        <v>0</v>
      </c>
      <c r="AI29">
        <v>0</v>
      </c>
      <c r="AJ29">
        <f t="shared" si="2"/>
        <v>0</v>
      </c>
      <c r="AK29">
        <v>0</v>
      </c>
      <c r="AL29">
        <f t="shared" si="2"/>
        <v>0</v>
      </c>
      <c r="AM29">
        <v>0</v>
      </c>
      <c r="AN29">
        <f t="shared" ref="AN29" si="40">SUMIF($P$6:$AG$6,AM$6,$P29:$AG29)-AM29</f>
        <v>0</v>
      </c>
      <c r="AO29" s="4">
        <v>0</v>
      </c>
    </row>
    <row r="30" spans="1:41" x14ac:dyDescent="0.3">
      <c r="B30" s="4" t="s">
        <v>41</v>
      </c>
      <c r="C30" s="4"/>
      <c r="D30" s="4"/>
      <c r="E30" s="4">
        <v>0</v>
      </c>
      <c r="F30" s="4"/>
      <c r="G30" s="4">
        <v>0</v>
      </c>
      <c r="H30" s="4"/>
      <c r="I30" s="4">
        <v>0</v>
      </c>
      <c r="J30" s="4"/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>
        <f t="shared" si="0"/>
        <v>0</v>
      </c>
      <c r="R30" s="4">
        <v>0</v>
      </c>
      <c r="S30">
        <f t="shared" si="0"/>
        <v>0</v>
      </c>
      <c r="T30" s="4">
        <v>0</v>
      </c>
      <c r="U30">
        <f t="shared" ref="U30" si="41">SUMIF($A$6:$N$6,T$6,$A30:$N30)*U$3-T30</f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>
        <f t="shared" si="2"/>
        <v>0</v>
      </c>
      <c r="AK30" s="4">
        <v>0</v>
      </c>
      <c r="AL30">
        <f t="shared" si="2"/>
        <v>0</v>
      </c>
      <c r="AM30" s="4">
        <v>0</v>
      </c>
      <c r="AN30">
        <f t="shared" ref="AN30" si="42">SUMIF($P$6:$AG$6,AM$6,$P30:$AG30)-AM30</f>
        <v>0</v>
      </c>
      <c r="AO30" s="4">
        <v>0</v>
      </c>
    </row>
    <row r="31" spans="1:41" x14ac:dyDescent="0.3">
      <c r="B31" t="s">
        <v>43</v>
      </c>
      <c r="C31">
        <v>380900</v>
      </c>
      <c r="D31" t="s">
        <v>43</v>
      </c>
      <c r="E31">
        <v>0</v>
      </c>
      <c r="G31">
        <v>0</v>
      </c>
      <c r="I31">
        <v>0</v>
      </c>
      <c r="K31" s="4">
        <v>0</v>
      </c>
      <c r="L31">
        <v>0</v>
      </c>
      <c r="M31">
        <v>0</v>
      </c>
      <c r="N31">
        <v>0</v>
      </c>
      <c r="O31" s="4">
        <v>0</v>
      </c>
      <c r="P31">
        <v>0</v>
      </c>
      <c r="Q31">
        <f t="shared" si="0"/>
        <v>0</v>
      </c>
      <c r="R31">
        <v>0</v>
      </c>
      <c r="S31">
        <f t="shared" si="0"/>
        <v>0</v>
      </c>
      <c r="T31">
        <v>0</v>
      </c>
      <c r="U31">
        <f t="shared" ref="U31" si="43">SUMIF($A$6:$N$6,T$6,$A31:$N31)*U$3-T31</f>
        <v>0</v>
      </c>
      <c r="V31" s="4">
        <v>0</v>
      </c>
      <c r="W31">
        <v>0</v>
      </c>
      <c r="X31">
        <v>0</v>
      </c>
      <c r="Y31">
        <v>0</v>
      </c>
      <c r="Z31" s="4">
        <v>0</v>
      </c>
      <c r="AA31">
        <v>0</v>
      </c>
      <c r="AB31">
        <v>0</v>
      </c>
      <c r="AC31">
        <v>0</v>
      </c>
      <c r="AD31" s="4">
        <v>0</v>
      </c>
      <c r="AE31">
        <v>0</v>
      </c>
      <c r="AF31">
        <v>0</v>
      </c>
      <c r="AG31">
        <v>0</v>
      </c>
      <c r="AH31" s="4">
        <v>0</v>
      </c>
      <c r="AI31">
        <v>0</v>
      </c>
      <c r="AJ31">
        <f t="shared" si="2"/>
        <v>0</v>
      </c>
      <c r="AK31">
        <v>0</v>
      </c>
      <c r="AL31">
        <f t="shared" si="2"/>
        <v>0</v>
      </c>
      <c r="AM31">
        <v>0</v>
      </c>
      <c r="AN31">
        <f t="shared" ref="AN31" si="44">SUMIF($P$6:$AG$6,AM$6,$P31:$AG31)-AM31</f>
        <v>0</v>
      </c>
      <c r="AO31" s="4">
        <v>0</v>
      </c>
    </row>
    <row r="32" spans="1:41" x14ac:dyDescent="0.3">
      <c r="B32" s="4" t="s">
        <v>43</v>
      </c>
      <c r="C32" s="4"/>
      <c r="D32" s="4"/>
      <c r="E32" s="4">
        <v>0</v>
      </c>
      <c r="F32" s="4"/>
      <c r="G32" s="4">
        <v>0</v>
      </c>
      <c r="H32" s="4"/>
      <c r="I32" s="4">
        <v>0</v>
      </c>
      <c r="J32" s="4"/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>
        <f t="shared" si="0"/>
        <v>0</v>
      </c>
      <c r="R32" s="4">
        <v>0</v>
      </c>
      <c r="S32">
        <f t="shared" si="0"/>
        <v>0</v>
      </c>
      <c r="T32" s="4">
        <v>0</v>
      </c>
      <c r="U32">
        <f t="shared" ref="U32" si="45">SUMIF($A$6:$N$6,T$6,$A32:$N32)*U$3-T32</f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>
        <f t="shared" si="2"/>
        <v>0</v>
      </c>
      <c r="AK32" s="4">
        <v>0</v>
      </c>
      <c r="AL32">
        <f t="shared" si="2"/>
        <v>0</v>
      </c>
      <c r="AM32" s="4">
        <v>0</v>
      </c>
      <c r="AN32">
        <f t="shared" ref="AN32" si="46">SUMIF($P$6:$AG$6,AM$6,$P32:$AG32)-AM32</f>
        <v>0</v>
      </c>
      <c r="AO32" s="4">
        <v>0</v>
      </c>
    </row>
    <row r="33" spans="1:41" x14ac:dyDescent="0.3">
      <c r="A33" t="s">
        <v>44</v>
      </c>
      <c r="B33" t="s">
        <v>44</v>
      </c>
      <c r="C33">
        <v>390000</v>
      </c>
      <c r="D33" t="s">
        <v>45</v>
      </c>
      <c r="E33">
        <v>134095.65</v>
      </c>
      <c r="G33">
        <v>30741.67</v>
      </c>
      <c r="I33">
        <v>12162141.57</v>
      </c>
      <c r="K33" s="4">
        <v>12326978.890000001</v>
      </c>
      <c r="L33">
        <v>0</v>
      </c>
      <c r="M33">
        <v>0</v>
      </c>
      <c r="N33">
        <v>677977.23</v>
      </c>
      <c r="O33" s="4">
        <v>677977.23</v>
      </c>
      <c r="P33">
        <v>15895698.35</v>
      </c>
      <c r="Q33">
        <f t="shared" si="0"/>
        <v>1.0000001639127731E-3</v>
      </c>
      <c r="R33">
        <v>3314511.87</v>
      </c>
      <c r="S33">
        <f t="shared" si="0"/>
        <v>54.989399999380112</v>
      </c>
      <c r="T33">
        <v>182586480.11000001</v>
      </c>
      <c r="U33">
        <f t="shared" ref="U33" si="47">SUMIF($A$6:$N$6,T$6,$A33:$N33)*U$3-T33</f>
        <v>9.2260000109672546</v>
      </c>
      <c r="V33" s="4">
        <v>201796690.33000001</v>
      </c>
      <c r="W33">
        <v>0</v>
      </c>
      <c r="X33">
        <v>0</v>
      </c>
      <c r="Y33">
        <v>0</v>
      </c>
      <c r="Z33" s="4">
        <v>0</v>
      </c>
      <c r="AA33">
        <v>-15412926.42</v>
      </c>
      <c r="AB33">
        <v>-8023101.8399999999</v>
      </c>
      <c r="AC33">
        <v>-99044985.590000004</v>
      </c>
      <c r="AD33" s="4">
        <v>-122481013.84999999</v>
      </c>
      <c r="AE33">
        <v>0</v>
      </c>
      <c r="AF33">
        <v>0</v>
      </c>
      <c r="AG33">
        <v>0</v>
      </c>
      <c r="AH33" s="4">
        <v>0</v>
      </c>
      <c r="AI33" s="3">
        <f>-SUM(AI24+AI21+AI11+AI14+AI18+AI26+AI28)</f>
        <v>482771.92999999691</v>
      </c>
      <c r="AJ33">
        <f t="shared" si="2"/>
        <v>2.7939677238464355E-9</v>
      </c>
      <c r="AK33">
        <v>-4708589.97</v>
      </c>
      <c r="AL33">
        <f t="shared" si="2"/>
        <v>0</v>
      </c>
      <c r="AM33">
        <v>83541494.520000011</v>
      </c>
      <c r="AN33">
        <f t="shared" ref="AN33" si="48">SUMIF($P$6:$AG$6,AM$6,$P33:$AG33)-AM33</f>
        <v>0</v>
      </c>
      <c r="AO33" s="4">
        <v>79315676.480000004</v>
      </c>
    </row>
    <row r="34" spans="1:41" x14ac:dyDescent="0.3">
      <c r="B34" s="4" t="s">
        <v>44</v>
      </c>
      <c r="C34" s="4"/>
      <c r="D34" s="4"/>
      <c r="E34" s="4">
        <v>134095.65</v>
      </c>
      <c r="F34" s="4"/>
      <c r="G34" s="4">
        <v>30741.67</v>
      </c>
      <c r="H34" s="4"/>
      <c r="I34" s="4">
        <v>12162141.57</v>
      </c>
      <c r="J34" s="4"/>
      <c r="K34" s="4">
        <v>12326978.890000001</v>
      </c>
      <c r="L34" s="4">
        <v>0</v>
      </c>
      <c r="M34" s="4">
        <v>0</v>
      </c>
      <c r="N34" s="4">
        <v>677977.23</v>
      </c>
      <c r="O34" s="4">
        <v>677977.23</v>
      </c>
      <c r="P34" s="4">
        <v>15895698.35</v>
      </c>
      <c r="Q34">
        <f t="shared" si="0"/>
        <v>1.0000001639127731E-3</v>
      </c>
      <c r="R34" s="4">
        <v>3314511.87</v>
      </c>
      <c r="S34">
        <f t="shared" si="0"/>
        <v>54.989399999380112</v>
      </c>
      <c r="T34" s="4">
        <v>182586480.11000001</v>
      </c>
      <c r="U34">
        <f t="shared" ref="U34" si="49">SUMIF($A$6:$N$6,T$6,$A34:$N34)*U$3-T34</f>
        <v>9.2260000109672546</v>
      </c>
      <c r="V34" s="4">
        <v>201796690.33000001</v>
      </c>
      <c r="W34" s="4">
        <v>0</v>
      </c>
      <c r="X34" s="4">
        <v>0</v>
      </c>
      <c r="Y34" s="4">
        <v>0</v>
      </c>
      <c r="Z34" s="4">
        <v>0</v>
      </c>
      <c r="AA34" s="4">
        <v>-15412926.42</v>
      </c>
      <c r="AB34" s="4">
        <v>-8023101.8399999999</v>
      </c>
      <c r="AC34" s="4">
        <v>-99044985.590000004</v>
      </c>
      <c r="AD34" s="4">
        <v>-122481013.84999999</v>
      </c>
      <c r="AE34" s="4">
        <v>0</v>
      </c>
      <c r="AF34" s="4">
        <v>0</v>
      </c>
      <c r="AG34" s="4">
        <v>0</v>
      </c>
      <c r="AH34" s="4">
        <v>0</v>
      </c>
      <c r="AI34" s="4">
        <v>482771.92999999691</v>
      </c>
      <c r="AJ34">
        <f t="shared" si="2"/>
        <v>2.7939677238464355E-9</v>
      </c>
      <c r="AK34" s="4">
        <v>-4708589.97</v>
      </c>
      <c r="AL34">
        <f t="shared" si="2"/>
        <v>0</v>
      </c>
      <c r="AM34" s="4">
        <v>83541494.520000011</v>
      </c>
      <c r="AN34">
        <f t="shared" ref="AN34" si="50">SUMIF($P$6:$AG$6,AM$6,$P34:$AG34)-AM34</f>
        <v>0</v>
      </c>
      <c r="AO34" s="4">
        <v>79315676.480000004</v>
      </c>
    </row>
    <row r="36" spans="1:41" x14ac:dyDescent="0.3">
      <c r="D36" t="s">
        <v>22</v>
      </c>
      <c r="F36">
        <f>SUMIF($A:$A,$D36,E:E)</f>
        <v>-477599.38</v>
      </c>
      <c r="H36">
        <f>SUMIF($A:$A,$D36,G:G)</f>
        <v>-165578</v>
      </c>
      <c r="J36">
        <f>SUMIF($A:$A,$D36,I:I)</f>
        <v>-20626915.560000002</v>
      </c>
    </row>
    <row r="37" spans="1:41" x14ac:dyDescent="0.3">
      <c r="D37" t="s">
        <v>26</v>
      </c>
      <c r="F37">
        <f t="shared" ref="F37:H38" si="51">SUMIF($A:$A,$D37,E:E)</f>
        <v>343503.73000000004</v>
      </c>
      <c r="H37">
        <f t="shared" si="51"/>
        <v>134836.32999999999</v>
      </c>
      <c r="J37">
        <f t="shared" ref="J37" si="52">SUMIF($A:$A,$D37,I:I)</f>
        <v>8464773.9900000002</v>
      </c>
    </row>
    <row r="38" spans="1:41" x14ac:dyDescent="0.3">
      <c r="D38" t="s">
        <v>44</v>
      </c>
      <c r="F38">
        <f t="shared" si="51"/>
        <v>134095.65</v>
      </c>
      <c r="H38">
        <f t="shared" si="51"/>
        <v>30741.67</v>
      </c>
      <c r="J38">
        <f t="shared" ref="J38" si="53">SUMIF($A:$A,$D38,I:I)</f>
        <v>12162141.57</v>
      </c>
    </row>
    <row r="40" spans="1:41" x14ac:dyDescent="0.3">
      <c r="D40" t="s">
        <v>46</v>
      </c>
      <c r="F40">
        <f>F36+F37+F38</f>
        <v>0</v>
      </c>
      <c r="H40">
        <f>H36+H37+H38</f>
        <v>0</v>
      </c>
      <c r="J40">
        <f>J36+J37+J38</f>
        <v>0</v>
      </c>
    </row>
    <row r="42" spans="1:41" x14ac:dyDescent="0.3">
      <c r="D42" t="s">
        <v>47</v>
      </c>
      <c r="F42">
        <f>HLOOKUP(E6,'Real Time TB'!$C$6:$F$23,18,FALSE)</f>
        <v>-134095.65000000002</v>
      </c>
      <c r="H42">
        <f>HLOOKUP(G6,'Real Time TB'!$C$6:$F$23,18,FALSE)</f>
        <v>-30741.160000000003</v>
      </c>
      <c r="J42">
        <f>HLOOKUP(I6,'Real Time TB'!$C$6:$F$23,18,FALSE)</f>
        <v>-12162140.919999998</v>
      </c>
    </row>
    <row r="43" spans="1:41" x14ac:dyDescent="0.3">
      <c r="D43" t="s">
        <v>48</v>
      </c>
      <c r="F43">
        <f>F38+F42</f>
        <v>0</v>
      </c>
      <c r="H43">
        <f>H38+H42</f>
        <v>0.50999999999476131</v>
      </c>
      <c r="J43">
        <f>J38+J42</f>
        <v>0.65000000223517418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960E-0F75-4701-A7A5-D390D431414C}">
  <dimension ref="A1:F9"/>
  <sheetViews>
    <sheetView workbookViewId="0">
      <selection activeCell="E24" sqref="E24"/>
    </sheetView>
  </sheetViews>
  <sheetFormatPr defaultRowHeight="14.4" x14ac:dyDescent="0.3"/>
  <sheetData>
    <row r="1" spans="1:6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3">
      <c r="A2" t="s">
        <v>55</v>
      </c>
      <c r="B2" t="s">
        <v>56</v>
      </c>
      <c r="C2" t="s">
        <v>57</v>
      </c>
      <c r="D2" t="s">
        <v>58</v>
      </c>
      <c r="E2">
        <v>2.1</v>
      </c>
      <c r="F2">
        <v>1</v>
      </c>
    </row>
    <row r="3" spans="1:6" x14ac:dyDescent="0.3">
      <c r="A3" t="s">
        <v>55</v>
      </c>
      <c r="B3" t="s">
        <v>56</v>
      </c>
      <c r="C3" t="s">
        <v>19</v>
      </c>
      <c r="D3" t="s">
        <v>58</v>
      </c>
      <c r="E3">
        <v>118.54</v>
      </c>
      <c r="F3">
        <v>1</v>
      </c>
    </row>
    <row r="4" spans="1:6" x14ac:dyDescent="0.3">
      <c r="A4" t="s">
        <v>55</v>
      </c>
      <c r="B4" t="s">
        <v>56</v>
      </c>
      <c r="C4" t="s">
        <v>20</v>
      </c>
      <c r="D4" t="s">
        <v>58</v>
      </c>
      <c r="E4">
        <v>107.82</v>
      </c>
      <c r="F4">
        <v>1</v>
      </c>
    </row>
    <row r="5" spans="1:6" x14ac:dyDescent="0.3">
      <c r="A5" t="s">
        <v>55</v>
      </c>
      <c r="B5" t="s">
        <v>56</v>
      </c>
      <c r="C5" t="s">
        <v>59</v>
      </c>
      <c r="D5" t="s">
        <v>58</v>
      </c>
      <c r="E5">
        <v>27.96</v>
      </c>
      <c r="F5">
        <v>100</v>
      </c>
    </row>
    <row r="6" spans="1:6" x14ac:dyDescent="0.3">
      <c r="A6" t="s">
        <v>55</v>
      </c>
      <c r="B6" t="s">
        <v>56</v>
      </c>
      <c r="C6" t="s">
        <v>60</v>
      </c>
      <c r="D6" t="s">
        <v>58</v>
      </c>
      <c r="E6">
        <v>58.68</v>
      </c>
      <c r="F6">
        <v>100</v>
      </c>
    </row>
    <row r="7" spans="1:6" x14ac:dyDescent="0.3">
      <c r="A7" t="s">
        <v>55</v>
      </c>
      <c r="B7" t="s">
        <v>56</v>
      </c>
      <c r="C7" t="s">
        <v>21</v>
      </c>
      <c r="D7" t="s">
        <v>58</v>
      </c>
      <c r="E7">
        <v>14.22</v>
      </c>
      <c r="F7">
        <v>1</v>
      </c>
    </row>
    <row r="8" spans="1:6" x14ac:dyDescent="0.3">
      <c r="A8" t="s">
        <v>55</v>
      </c>
      <c r="B8" t="s">
        <v>56</v>
      </c>
      <c r="C8" t="s">
        <v>61</v>
      </c>
      <c r="D8" t="s">
        <v>58</v>
      </c>
      <c r="E8">
        <v>93.57</v>
      </c>
      <c r="F8">
        <v>1</v>
      </c>
    </row>
    <row r="9" spans="1:6" x14ac:dyDescent="0.3">
      <c r="A9" t="s">
        <v>55</v>
      </c>
      <c r="B9" t="s">
        <v>56</v>
      </c>
      <c r="C9" t="s">
        <v>58</v>
      </c>
      <c r="D9" t="s">
        <v>58</v>
      </c>
      <c r="E9">
        <v>1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D0D5-2172-472A-B70B-FE446800D5EF}">
  <dimension ref="A1:F23"/>
  <sheetViews>
    <sheetView topLeftCell="A5" workbookViewId="0">
      <selection activeCell="D6" sqref="D6"/>
    </sheetView>
  </sheetViews>
  <sheetFormatPr defaultRowHeight="14.4" x14ac:dyDescent="0.3"/>
  <cols>
    <col min="1" max="1" width="34.6640625" bestFit="1" customWidth="1"/>
    <col min="2" max="2" width="36.33203125" bestFit="1" customWidth="1"/>
    <col min="3" max="3" width="22.33203125" bestFit="1" customWidth="1"/>
    <col min="4" max="4" width="18.109375" bestFit="1" customWidth="1"/>
    <col min="5" max="5" width="21" bestFit="1" customWidth="1"/>
    <col min="6" max="6" width="18.5546875" bestFit="1" customWidth="1"/>
  </cols>
  <sheetData>
    <row r="1" spans="1:6" x14ac:dyDescent="0.3">
      <c r="A1" s="6" t="s">
        <v>62</v>
      </c>
    </row>
    <row r="3" spans="1:6" x14ac:dyDescent="0.3">
      <c r="A3" t="s">
        <v>63</v>
      </c>
    </row>
    <row r="4" spans="1:6" x14ac:dyDescent="0.3">
      <c r="A4" t="s">
        <v>64</v>
      </c>
    </row>
    <row r="6" spans="1:6" x14ac:dyDescent="0.3">
      <c r="B6" t="s">
        <v>65</v>
      </c>
      <c r="C6" t="s">
        <v>66</v>
      </c>
      <c r="D6" t="s">
        <v>10</v>
      </c>
      <c r="E6" t="s">
        <v>11</v>
      </c>
      <c r="F6" t="s">
        <v>12</v>
      </c>
    </row>
    <row r="7" spans="1:6" x14ac:dyDescent="0.3">
      <c r="C7" t="s">
        <v>67</v>
      </c>
      <c r="D7" t="s">
        <v>14</v>
      </c>
      <c r="E7" t="s">
        <v>15</v>
      </c>
      <c r="F7" t="s">
        <v>16</v>
      </c>
    </row>
    <row r="8" spans="1:6" x14ac:dyDescent="0.3">
      <c r="C8" t="s">
        <v>68</v>
      </c>
      <c r="D8" t="s">
        <v>68</v>
      </c>
      <c r="E8" t="s">
        <v>68</v>
      </c>
      <c r="F8" t="s">
        <v>68</v>
      </c>
    </row>
    <row r="9" spans="1:6" x14ac:dyDescent="0.3">
      <c r="A9" t="s">
        <v>69</v>
      </c>
      <c r="C9" t="s">
        <v>70</v>
      </c>
      <c r="D9" t="s">
        <v>19</v>
      </c>
      <c r="E9" t="s">
        <v>20</v>
      </c>
      <c r="F9" t="s">
        <v>21</v>
      </c>
    </row>
    <row r="10" spans="1:6" x14ac:dyDescent="0.3">
      <c r="A10">
        <v>110200</v>
      </c>
      <c r="B10" t="s">
        <v>71</v>
      </c>
      <c r="C10">
        <v>0</v>
      </c>
      <c r="D10">
        <v>338412.73</v>
      </c>
      <c r="E10">
        <v>134378.32999999999</v>
      </c>
      <c r="F10">
        <v>7756557.8799999999</v>
      </c>
    </row>
    <row r="11" spans="1:6" x14ac:dyDescent="0.3">
      <c r="A11">
        <v>212300</v>
      </c>
      <c r="B11" t="s">
        <v>31</v>
      </c>
      <c r="C11">
        <v>0</v>
      </c>
      <c r="D11">
        <v>0</v>
      </c>
      <c r="E11">
        <v>0</v>
      </c>
      <c r="F11">
        <v>356515.24</v>
      </c>
    </row>
    <row r="12" spans="1:6" x14ac:dyDescent="0.3">
      <c r="A12">
        <v>212400</v>
      </c>
      <c r="B12" t="s">
        <v>32</v>
      </c>
      <c r="C12">
        <v>0</v>
      </c>
      <c r="D12">
        <v>0</v>
      </c>
      <c r="E12">
        <v>0</v>
      </c>
      <c r="F12">
        <v>107043.23</v>
      </c>
    </row>
    <row r="13" spans="1:6" x14ac:dyDescent="0.3">
      <c r="A13">
        <v>290100</v>
      </c>
      <c r="B13" t="s">
        <v>29</v>
      </c>
      <c r="C13">
        <v>0</v>
      </c>
      <c r="D13">
        <v>5091</v>
      </c>
      <c r="E13">
        <v>458.51</v>
      </c>
      <c r="F13">
        <v>157384.65</v>
      </c>
    </row>
    <row r="14" spans="1:6" x14ac:dyDescent="0.3">
      <c r="A14">
        <v>290410</v>
      </c>
      <c r="B14" s="3" t="s">
        <v>72</v>
      </c>
      <c r="C14">
        <v>0</v>
      </c>
      <c r="D14">
        <v>0</v>
      </c>
      <c r="E14">
        <v>0</v>
      </c>
      <c r="F14">
        <v>87273.64</v>
      </c>
    </row>
    <row r="15" spans="1:6" x14ac:dyDescent="0.3">
      <c r="A15">
        <v>290900</v>
      </c>
      <c r="B15" t="s">
        <v>73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311025</v>
      </c>
      <c r="B16" t="s">
        <v>24</v>
      </c>
      <c r="C16">
        <v>0</v>
      </c>
      <c r="D16">
        <v>-355672.13</v>
      </c>
      <c r="E16">
        <v>-91166</v>
      </c>
      <c r="F16">
        <v>-13439774.699999999</v>
      </c>
    </row>
    <row r="17" spans="1:6" x14ac:dyDescent="0.3">
      <c r="A17">
        <v>311030</v>
      </c>
      <c r="B17" t="s">
        <v>25</v>
      </c>
      <c r="C17">
        <v>0</v>
      </c>
      <c r="D17">
        <v>-130023</v>
      </c>
      <c r="E17">
        <v>-74412</v>
      </c>
      <c r="F17">
        <v>-7052462.5</v>
      </c>
    </row>
    <row r="18" spans="1:6" x14ac:dyDescent="0.3">
      <c r="A18">
        <v>331001</v>
      </c>
      <c r="B18" t="s">
        <v>74</v>
      </c>
      <c r="C18">
        <v>0</v>
      </c>
      <c r="D18">
        <v>0</v>
      </c>
      <c r="E18">
        <v>0</v>
      </c>
      <c r="F18">
        <v>-14548.69</v>
      </c>
    </row>
    <row r="19" spans="1:6" x14ac:dyDescent="0.3">
      <c r="A19">
        <v>334000</v>
      </c>
      <c r="B19" t="s">
        <v>75</v>
      </c>
      <c r="C19">
        <v>0</v>
      </c>
      <c r="D19">
        <v>8095.75</v>
      </c>
      <c r="E19">
        <v>0</v>
      </c>
      <c r="F19">
        <v>-120129.67</v>
      </c>
    </row>
    <row r="20" spans="1:6" x14ac:dyDescent="0.3">
      <c r="A20">
        <v>445600</v>
      </c>
      <c r="B20" t="s">
        <v>76</v>
      </c>
      <c r="C20">
        <v>2300</v>
      </c>
      <c r="D20">
        <v>0</v>
      </c>
      <c r="E20">
        <v>8000</v>
      </c>
      <c r="F20">
        <v>9000</v>
      </c>
    </row>
    <row r="21" spans="1:6" x14ac:dyDescent="0.3">
      <c r="A21">
        <v>885900</v>
      </c>
      <c r="B21" t="s">
        <v>76</v>
      </c>
      <c r="C21">
        <v>4500</v>
      </c>
      <c r="D21">
        <v>6000</v>
      </c>
      <c r="E21">
        <v>0</v>
      </c>
      <c r="F21">
        <v>0</v>
      </c>
    </row>
    <row r="22" spans="1:6" x14ac:dyDescent="0.3">
      <c r="A22">
        <v>995600</v>
      </c>
      <c r="B22" t="s">
        <v>76</v>
      </c>
      <c r="C22">
        <v>6700</v>
      </c>
      <c r="D22">
        <v>0</v>
      </c>
      <c r="E22">
        <v>0</v>
      </c>
      <c r="F22">
        <v>1000</v>
      </c>
    </row>
    <row r="23" spans="1:6" x14ac:dyDescent="0.3">
      <c r="C23" s="6">
        <f>SUM(C10:C19)</f>
        <v>0</v>
      </c>
      <c r="D23" s="6">
        <f t="shared" ref="D23:F23" si="0">SUM(D10:D19)</f>
        <v>-134095.65000000002</v>
      </c>
      <c r="E23" s="6">
        <f t="shared" si="0"/>
        <v>-30741.160000000003</v>
      </c>
      <c r="F23" s="6">
        <f t="shared" si="0"/>
        <v>-12162140.919999998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40B1-E05B-4677-890F-246542C574EF}">
  <dimension ref="A1:V13"/>
  <sheetViews>
    <sheetView topLeftCell="N1" workbookViewId="0">
      <selection activeCell="H18" sqref="H18"/>
    </sheetView>
  </sheetViews>
  <sheetFormatPr defaultRowHeight="14.4" x14ac:dyDescent="0.3"/>
  <cols>
    <col min="1" max="1" width="21.5546875" bestFit="1" customWidth="1"/>
    <col min="2" max="2" width="41.5546875" bestFit="1" customWidth="1"/>
    <col min="3" max="3" width="18.109375" bestFit="1" customWidth="1"/>
    <col min="4" max="4" width="21" bestFit="1" customWidth="1"/>
    <col min="5" max="5" width="18.5546875" bestFit="1" customWidth="1"/>
    <col min="6" max="6" width="14.5546875" bestFit="1" customWidth="1"/>
    <col min="7" max="7" width="21.5546875" bestFit="1" customWidth="1"/>
    <col min="8" max="8" width="41.5546875" bestFit="1" customWidth="1"/>
    <col min="9" max="9" width="18.109375" bestFit="1" customWidth="1"/>
    <col min="10" max="10" width="21" bestFit="1" customWidth="1"/>
    <col min="11" max="11" width="18.5546875" bestFit="1" customWidth="1"/>
    <col min="12" max="12" width="16.6640625" bestFit="1" customWidth="1"/>
    <col min="13" max="13" width="21.5546875" bestFit="1" customWidth="1"/>
    <col min="14" max="14" width="41.5546875" bestFit="1" customWidth="1"/>
    <col min="15" max="18" width="21.109375" bestFit="1" customWidth="1"/>
    <col min="19" max="19" width="18.109375" bestFit="1" customWidth="1"/>
    <col min="20" max="20" width="21" bestFit="1" customWidth="1"/>
    <col min="21" max="21" width="18.5546875" bestFit="1" customWidth="1"/>
    <col min="22" max="22" width="13" bestFit="1" customWidth="1"/>
  </cols>
  <sheetData>
    <row r="1" spans="1:22" x14ac:dyDescent="0.3">
      <c r="A1" s="6" t="s">
        <v>77</v>
      </c>
      <c r="G1" s="6" t="s">
        <v>77</v>
      </c>
      <c r="M1" s="6" t="s">
        <v>77</v>
      </c>
    </row>
    <row r="3" spans="1:22" x14ac:dyDescent="0.3">
      <c r="A3" t="s">
        <v>63</v>
      </c>
      <c r="G3" t="s">
        <v>63</v>
      </c>
      <c r="M3" t="s">
        <v>63</v>
      </c>
    </row>
    <row r="4" spans="1:22" x14ac:dyDescent="0.3">
      <c r="A4" t="s">
        <v>64</v>
      </c>
      <c r="G4" t="s">
        <v>64</v>
      </c>
      <c r="M4" t="s">
        <v>64</v>
      </c>
    </row>
    <row r="6" spans="1:22" x14ac:dyDescent="0.3">
      <c r="C6" t="s">
        <v>78</v>
      </c>
      <c r="D6" t="s">
        <v>78</v>
      </c>
      <c r="E6" t="s">
        <v>78</v>
      </c>
      <c r="F6" t="s">
        <v>78</v>
      </c>
      <c r="I6" t="s">
        <v>79</v>
      </c>
      <c r="J6" t="s">
        <v>79</v>
      </c>
      <c r="K6" t="s">
        <v>79</v>
      </c>
      <c r="L6" t="s">
        <v>79</v>
      </c>
      <c r="O6" t="s">
        <v>33</v>
      </c>
      <c r="P6" t="s">
        <v>33</v>
      </c>
      <c r="Q6" t="s">
        <v>33</v>
      </c>
      <c r="R6" t="s">
        <v>33</v>
      </c>
      <c r="S6" t="s">
        <v>80</v>
      </c>
      <c r="T6" t="s">
        <v>80</v>
      </c>
      <c r="U6" t="s">
        <v>80</v>
      </c>
      <c r="V6" t="s">
        <v>80</v>
      </c>
    </row>
    <row r="7" spans="1:22" x14ac:dyDescent="0.3">
      <c r="B7" t="s">
        <v>65</v>
      </c>
      <c r="C7" s="1" t="s">
        <v>10</v>
      </c>
      <c r="D7" s="1" t="s">
        <v>11</v>
      </c>
      <c r="E7" s="1" t="s">
        <v>12</v>
      </c>
      <c r="F7" s="2" t="s">
        <v>13</v>
      </c>
      <c r="H7" t="s">
        <v>65</v>
      </c>
      <c r="I7" s="1" t="s">
        <v>10</v>
      </c>
      <c r="J7" s="1" t="s">
        <v>11</v>
      </c>
      <c r="K7" s="1" t="s">
        <v>12</v>
      </c>
      <c r="L7" s="2" t="s">
        <v>13</v>
      </c>
      <c r="N7" t="s">
        <v>65</v>
      </c>
      <c r="O7" s="1" t="s">
        <v>10</v>
      </c>
      <c r="P7" s="1" t="s">
        <v>11</v>
      </c>
      <c r="Q7" s="1" t="s">
        <v>12</v>
      </c>
      <c r="R7" s="2" t="s">
        <v>13</v>
      </c>
      <c r="S7" s="1" t="s">
        <v>10</v>
      </c>
      <c r="T7" s="1" t="s">
        <v>11</v>
      </c>
      <c r="U7" s="1" t="s">
        <v>12</v>
      </c>
      <c r="V7" s="2" t="s">
        <v>13</v>
      </c>
    </row>
    <row r="8" spans="1:22" x14ac:dyDescent="0.3">
      <c r="A8" t="s">
        <v>69</v>
      </c>
      <c r="C8" s="1" t="s">
        <v>14</v>
      </c>
      <c r="D8" s="1" t="s">
        <v>15</v>
      </c>
      <c r="E8" s="1" t="s">
        <v>16</v>
      </c>
      <c r="F8" s="2"/>
      <c r="G8" t="s">
        <v>69</v>
      </c>
      <c r="I8" s="1" t="s">
        <v>14</v>
      </c>
      <c r="J8" s="1" t="s">
        <v>15</v>
      </c>
      <c r="K8" s="1" t="s">
        <v>16</v>
      </c>
      <c r="L8" s="2"/>
      <c r="M8" t="s">
        <v>69</v>
      </c>
      <c r="O8" s="1" t="s">
        <v>14</v>
      </c>
      <c r="P8" s="1" t="s">
        <v>15</v>
      </c>
      <c r="Q8" s="1" t="s">
        <v>16</v>
      </c>
      <c r="R8" s="2"/>
      <c r="S8" s="1" t="s">
        <v>14</v>
      </c>
      <c r="T8" s="1" t="s">
        <v>15</v>
      </c>
      <c r="U8" s="1" t="s">
        <v>16</v>
      </c>
      <c r="V8" s="2"/>
    </row>
    <row r="9" spans="1:22" x14ac:dyDescent="0.3">
      <c r="A9">
        <v>110200</v>
      </c>
      <c r="B9" t="s">
        <v>28</v>
      </c>
      <c r="C9">
        <v>266422.58</v>
      </c>
      <c r="D9">
        <v>118158.39999999999</v>
      </c>
      <c r="E9">
        <v>6290519.8399999999</v>
      </c>
      <c r="F9" s="2">
        <v>6675100.8200000003</v>
      </c>
      <c r="G9">
        <v>110200</v>
      </c>
      <c r="H9" t="s">
        <v>28</v>
      </c>
      <c r="I9">
        <v>48486.19</v>
      </c>
      <c r="J9">
        <v>16219.93</v>
      </c>
      <c r="K9">
        <v>522188.52</v>
      </c>
      <c r="L9" s="2">
        <v>586894.64</v>
      </c>
      <c r="M9">
        <v>110200</v>
      </c>
      <c r="N9" t="s">
        <v>28</v>
      </c>
      <c r="O9">
        <v>23503.96</v>
      </c>
      <c r="P9">
        <v>0</v>
      </c>
      <c r="Q9">
        <v>943849.52</v>
      </c>
      <c r="R9" s="2">
        <v>967353.48</v>
      </c>
      <c r="S9" s="6">
        <v>338412.73</v>
      </c>
      <c r="T9" s="6">
        <v>134378.32999999999</v>
      </c>
      <c r="U9" s="6">
        <v>7756557.8799999999</v>
      </c>
      <c r="V9" s="4">
        <v>8229348.9399999995</v>
      </c>
    </row>
    <row r="10" spans="1:22" x14ac:dyDescent="0.3">
      <c r="A10">
        <v>212300</v>
      </c>
      <c r="B10" t="s">
        <v>31</v>
      </c>
      <c r="C10">
        <v>0</v>
      </c>
      <c r="D10">
        <v>0</v>
      </c>
      <c r="E10">
        <v>0</v>
      </c>
      <c r="F10" s="2">
        <v>0</v>
      </c>
      <c r="G10">
        <v>212300</v>
      </c>
      <c r="H10" t="s">
        <v>31</v>
      </c>
      <c r="I10">
        <v>0</v>
      </c>
      <c r="J10">
        <v>0</v>
      </c>
      <c r="K10">
        <v>356515.24</v>
      </c>
      <c r="L10" s="2">
        <v>356515.24</v>
      </c>
      <c r="M10">
        <v>212300</v>
      </c>
      <c r="N10" t="s">
        <v>31</v>
      </c>
      <c r="O10">
        <v>0</v>
      </c>
      <c r="P10">
        <v>0</v>
      </c>
      <c r="Q10">
        <v>0</v>
      </c>
      <c r="R10" s="2">
        <v>0</v>
      </c>
      <c r="S10" s="6">
        <v>0</v>
      </c>
      <c r="T10" s="6">
        <v>0</v>
      </c>
      <c r="U10" s="6">
        <v>356515.24</v>
      </c>
      <c r="V10" s="4">
        <v>356515.24</v>
      </c>
    </row>
    <row r="11" spans="1:22" x14ac:dyDescent="0.3">
      <c r="A11">
        <v>212400</v>
      </c>
      <c r="B11" t="s">
        <v>32</v>
      </c>
      <c r="C11">
        <v>0</v>
      </c>
      <c r="D11">
        <v>0</v>
      </c>
      <c r="E11">
        <v>0</v>
      </c>
      <c r="F11" s="2">
        <v>0</v>
      </c>
      <c r="G11">
        <v>212400</v>
      </c>
      <c r="H11" t="s">
        <v>32</v>
      </c>
      <c r="I11">
        <v>0</v>
      </c>
      <c r="J11">
        <v>0</v>
      </c>
      <c r="K11">
        <v>107043.23</v>
      </c>
      <c r="L11" s="2">
        <v>107043.23</v>
      </c>
      <c r="M11">
        <v>212400</v>
      </c>
      <c r="N11" t="s">
        <v>32</v>
      </c>
      <c r="O11">
        <v>0</v>
      </c>
      <c r="P11">
        <v>0</v>
      </c>
      <c r="Q11">
        <v>0</v>
      </c>
      <c r="R11" s="2">
        <v>0</v>
      </c>
      <c r="S11" s="6">
        <v>0</v>
      </c>
      <c r="T11" s="6">
        <v>0</v>
      </c>
      <c r="U11" s="6">
        <v>107043.23</v>
      </c>
      <c r="V11" s="4">
        <v>107043.23</v>
      </c>
    </row>
    <row r="12" spans="1:22" x14ac:dyDescent="0.3">
      <c r="A12">
        <v>290100</v>
      </c>
      <c r="B12" t="s">
        <v>29</v>
      </c>
      <c r="C12">
        <v>0</v>
      </c>
      <c r="D12">
        <v>0</v>
      </c>
      <c r="E12">
        <v>0</v>
      </c>
      <c r="F12" s="2">
        <v>0</v>
      </c>
      <c r="G12">
        <v>290100</v>
      </c>
      <c r="H12" t="s">
        <v>29</v>
      </c>
      <c r="I12">
        <v>0</v>
      </c>
      <c r="J12">
        <v>0</v>
      </c>
      <c r="K12">
        <v>0</v>
      </c>
      <c r="L12" s="2">
        <v>0</v>
      </c>
      <c r="M12">
        <v>290100</v>
      </c>
      <c r="N12" t="s">
        <v>29</v>
      </c>
      <c r="O12">
        <v>5091</v>
      </c>
      <c r="P12">
        <v>458.51</v>
      </c>
      <c r="Q12">
        <v>157384.65</v>
      </c>
      <c r="R12" s="2">
        <v>162934.16</v>
      </c>
      <c r="S12" s="6">
        <v>5091</v>
      </c>
      <c r="T12" s="6">
        <v>458.51</v>
      </c>
      <c r="U12" s="6">
        <v>157384.65</v>
      </c>
      <c r="V12" s="4">
        <v>162934.16</v>
      </c>
    </row>
    <row r="13" spans="1:22" x14ac:dyDescent="0.3">
      <c r="A13" s="2" t="s">
        <v>13</v>
      </c>
      <c r="B13" s="2"/>
      <c r="C13" s="2">
        <v>266422.58</v>
      </c>
      <c r="D13" s="2">
        <v>118158.39999999999</v>
      </c>
      <c r="E13" s="2">
        <v>6290519.8399999999</v>
      </c>
      <c r="F13" s="2">
        <v>6675100.8200000003</v>
      </c>
      <c r="G13" s="2"/>
      <c r="H13" s="2"/>
      <c r="I13" s="2">
        <v>48486.19</v>
      </c>
      <c r="J13" s="2">
        <v>16219.93</v>
      </c>
      <c r="K13" s="2">
        <v>985746.99</v>
      </c>
      <c r="L13" s="2">
        <v>1050453.1100000001</v>
      </c>
      <c r="M13" s="2"/>
      <c r="N13" s="2"/>
      <c r="O13" s="2">
        <v>28594.959999999999</v>
      </c>
      <c r="P13" s="2">
        <v>458.51</v>
      </c>
      <c r="Q13" s="2">
        <v>1101234.17</v>
      </c>
      <c r="R13" s="2">
        <v>1130287.6399999999</v>
      </c>
      <c r="S13" s="4">
        <v>343503.73</v>
      </c>
      <c r="T13" s="4">
        <v>134836.84</v>
      </c>
      <c r="U13" s="4">
        <v>8377501.0000000009</v>
      </c>
      <c r="V13" s="4">
        <v>8855841.5700000003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</vt:lpstr>
      <vt:lpstr>MA rates</vt:lpstr>
      <vt:lpstr>Real Time TB</vt:lpstr>
      <vt:lpstr>Aggregate Exp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mahimaagarwal029@gmail.com</cp:lastModifiedBy>
  <cp:revision/>
  <dcterms:created xsi:type="dcterms:W3CDTF">2026-06-19T20:38:27Z</dcterms:created>
  <dcterms:modified xsi:type="dcterms:W3CDTF">2026-06-21T09:04:23Z</dcterms:modified>
  <cp:category/>
  <cp:contentStatus/>
</cp:coreProperties>
</file>